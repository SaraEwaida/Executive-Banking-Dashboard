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DEE18C6-1AF6-4055-84C6-10C3293B3926}" xr6:coauthVersionLast="47" xr6:coauthVersionMax="47" xr10:uidLastSave="{00000000-0000-0000-0000-000000000000}"/>
  <bookViews>
    <workbookView xWindow="-108" yWindow="-108" windowWidth="23256" windowHeight="12456" tabRatio="500" firstSheet="5" activeTab="9" xr2:uid="{00000000-000D-0000-FFFF-FFFF00000000}"/>
  </bookViews>
  <sheets>
    <sheet name="Overview" sheetId="1" r:id="rId1"/>
    <sheet name="Dashboard" sheetId="2" r:id="rId2"/>
    <sheet name="1_Customer_Analysis" sheetId="3" r:id="rId3"/>
    <sheet name="2_Account_Analysis" sheetId="4" r:id="rId4"/>
    <sheet name="3_Transaction_Analysis" sheetId="5" r:id="rId5"/>
    <sheet name="4_Loan_Analysis" sheetId="6" r:id="rId6"/>
    <sheet name="5_Card_Analysis" sheetId="7" r:id="rId7"/>
    <sheet name="6_Branch_Performance" sheetId="8" r:id="rId8"/>
    <sheet name="Pivot_Tables" sheetId="9" r:id="rId9"/>
    <sheet name="Data_Quality" sheetId="10" r:id="rId10"/>
    <sheet name="BRANCHES" sheetId="11" r:id="rId11"/>
    <sheet name="CUSTOMERS" sheetId="12" r:id="rId12"/>
    <sheet name="ACCOUNTS" sheetId="13" r:id="rId13"/>
    <sheet name="TRANSACTIONS" sheetId="14" r:id="rId14"/>
    <sheet name="LOANS" sheetId="15" r:id="rId15"/>
    <sheet name="EMPLOYEES" sheetId="16" r:id="rId16"/>
    <sheet name="CARDS" sheetId="17" r:id="rId17"/>
    <sheet name="TRANSFERS" sheetId="18" r:id="rId18"/>
    <sheet name="BENEFICIARIES" sheetId="19" r:id="rId19"/>
    <sheet name="FEES" sheetId="20" r:id="rId20"/>
    <sheet name="LOAN_PAYMENTS" sheetId="21" r:id="rId21"/>
    <sheet name="STANDING_ORDERS" sheetId="22" r:id="rId22"/>
    <sheet name="ATM_MACHINES" sheetId="23" r:id="rId23"/>
    <sheet name="AUDIT_LOG" sheetId="24" r:id="rId24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1" i="15" l="1"/>
  <c r="J61" i="15" s="1"/>
  <c r="I60" i="15"/>
  <c r="J60" i="15" s="1"/>
  <c r="I59" i="15"/>
  <c r="J59" i="15" s="1"/>
  <c r="I58" i="15"/>
  <c r="J58" i="15" s="1"/>
  <c r="I57" i="15"/>
  <c r="J57" i="15" s="1"/>
  <c r="I56" i="15"/>
  <c r="J56" i="15" s="1"/>
  <c r="I55" i="15"/>
  <c r="J55" i="15" s="1"/>
  <c r="I54" i="15"/>
  <c r="J54" i="15" s="1"/>
  <c r="I53" i="15"/>
  <c r="J53" i="15" s="1"/>
  <c r="I52" i="15"/>
  <c r="J52" i="15" s="1"/>
  <c r="I51" i="15"/>
  <c r="J51" i="15" s="1"/>
  <c r="I50" i="15"/>
  <c r="J50" i="15" s="1"/>
  <c r="I49" i="15"/>
  <c r="J49" i="15" s="1"/>
  <c r="I48" i="15"/>
  <c r="J48" i="15" s="1"/>
  <c r="I47" i="15"/>
  <c r="J47" i="15" s="1"/>
  <c r="I46" i="15"/>
  <c r="J46" i="15" s="1"/>
  <c r="I45" i="15"/>
  <c r="J45" i="15" s="1"/>
  <c r="I44" i="15"/>
  <c r="J44" i="15" s="1"/>
  <c r="I43" i="15"/>
  <c r="J43" i="15" s="1"/>
  <c r="I42" i="15"/>
  <c r="J42" i="15" s="1"/>
  <c r="I41" i="15"/>
  <c r="J41" i="15" s="1"/>
  <c r="I40" i="15"/>
  <c r="J40" i="15" s="1"/>
  <c r="I39" i="15"/>
  <c r="J39" i="15" s="1"/>
  <c r="I38" i="15"/>
  <c r="J38" i="15" s="1"/>
  <c r="I37" i="15"/>
  <c r="J37" i="15" s="1"/>
  <c r="I36" i="15"/>
  <c r="J36" i="15" s="1"/>
  <c r="I35" i="15"/>
  <c r="J35" i="15" s="1"/>
  <c r="I34" i="15"/>
  <c r="J34" i="15" s="1"/>
  <c r="I33" i="15"/>
  <c r="J33" i="15" s="1"/>
  <c r="I32" i="15"/>
  <c r="J32" i="15" s="1"/>
  <c r="I31" i="15"/>
  <c r="J31" i="15" s="1"/>
  <c r="I30" i="15"/>
  <c r="J30" i="15" s="1"/>
  <c r="I29" i="15"/>
  <c r="J29" i="15" s="1"/>
  <c r="I28" i="15"/>
  <c r="J28" i="15" s="1"/>
  <c r="I27" i="15"/>
  <c r="J27" i="15" s="1"/>
  <c r="I26" i="15"/>
  <c r="J26" i="15" s="1"/>
  <c r="I25" i="15"/>
  <c r="J25" i="15" s="1"/>
  <c r="I24" i="15"/>
  <c r="J24" i="15" s="1"/>
  <c r="I23" i="15"/>
  <c r="J23" i="15" s="1"/>
  <c r="I22" i="15"/>
  <c r="J22" i="15" s="1"/>
  <c r="I21" i="15"/>
  <c r="J21" i="15" s="1"/>
  <c r="I20" i="15"/>
  <c r="J20" i="15" s="1"/>
  <c r="I19" i="15"/>
  <c r="J19" i="15" s="1"/>
  <c r="I18" i="15"/>
  <c r="J18" i="15" s="1"/>
  <c r="I17" i="15"/>
  <c r="J17" i="15" s="1"/>
  <c r="I16" i="15"/>
  <c r="J16" i="15" s="1"/>
  <c r="I15" i="15"/>
  <c r="J15" i="15" s="1"/>
  <c r="I14" i="15"/>
  <c r="J14" i="15" s="1"/>
  <c r="I13" i="15"/>
  <c r="J13" i="15" s="1"/>
  <c r="I12" i="15"/>
  <c r="J12" i="15" s="1"/>
  <c r="I11" i="15"/>
  <c r="J11" i="15" s="1"/>
  <c r="I10" i="15"/>
  <c r="J10" i="15" s="1"/>
  <c r="I9" i="15"/>
  <c r="J9" i="15" s="1"/>
  <c r="I8" i="15"/>
  <c r="J8" i="15" s="1"/>
  <c r="I7" i="15"/>
  <c r="J7" i="15" s="1"/>
  <c r="I6" i="15"/>
  <c r="J6" i="15" s="1"/>
  <c r="I5" i="15"/>
  <c r="J5" i="15" s="1"/>
  <c r="I4" i="15"/>
  <c r="J4" i="15" s="1"/>
  <c r="I3" i="15"/>
  <c r="J3" i="15" s="1"/>
  <c r="I2" i="15"/>
  <c r="J2" i="15" s="1"/>
  <c r="H83" i="13"/>
  <c r="G83" i="13"/>
  <c r="I83" i="13" s="1"/>
  <c r="I82" i="13"/>
  <c r="G82" i="13"/>
  <c r="H82" i="13" s="1"/>
  <c r="H81" i="13"/>
  <c r="G81" i="13"/>
  <c r="I81" i="13" s="1"/>
  <c r="G80" i="13"/>
  <c r="I80" i="13" s="1"/>
  <c r="H79" i="13"/>
  <c r="G79" i="13"/>
  <c r="I79" i="13" s="1"/>
  <c r="G78" i="13"/>
  <c r="H78" i="13" s="1"/>
  <c r="I77" i="13"/>
  <c r="H77" i="13"/>
  <c r="G77" i="13"/>
  <c r="G76" i="13"/>
  <c r="I76" i="13" s="1"/>
  <c r="H75" i="13"/>
  <c r="G75" i="13"/>
  <c r="I75" i="13" s="1"/>
  <c r="I74" i="13"/>
  <c r="G74" i="13"/>
  <c r="H74" i="13" s="1"/>
  <c r="H73" i="13"/>
  <c r="G73" i="13"/>
  <c r="I73" i="13" s="1"/>
  <c r="G72" i="13"/>
  <c r="I72" i="13" s="1"/>
  <c r="H71" i="13"/>
  <c r="G71" i="13"/>
  <c r="I71" i="13" s="1"/>
  <c r="G70" i="13"/>
  <c r="H70" i="13" s="1"/>
  <c r="I69" i="13"/>
  <c r="H69" i="13"/>
  <c r="G69" i="13"/>
  <c r="G68" i="13"/>
  <c r="I68" i="13" s="1"/>
  <c r="H67" i="13"/>
  <c r="G67" i="13"/>
  <c r="I67" i="13" s="1"/>
  <c r="I66" i="13"/>
  <c r="G66" i="13"/>
  <c r="H66" i="13" s="1"/>
  <c r="H65" i="13"/>
  <c r="G65" i="13"/>
  <c r="I65" i="13" s="1"/>
  <c r="G64" i="13"/>
  <c r="I64" i="13" s="1"/>
  <c r="H63" i="13"/>
  <c r="G63" i="13"/>
  <c r="I63" i="13" s="1"/>
  <c r="G62" i="13"/>
  <c r="H62" i="13" s="1"/>
  <c r="I61" i="13"/>
  <c r="H61" i="13"/>
  <c r="G61" i="13"/>
  <c r="G60" i="13"/>
  <c r="I60" i="13" s="1"/>
  <c r="H59" i="13"/>
  <c r="G59" i="13"/>
  <c r="I59" i="13" s="1"/>
  <c r="I58" i="13"/>
  <c r="G58" i="13"/>
  <c r="H58" i="13" s="1"/>
  <c r="H57" i="13"/>
  <c r="G57" i="13"/>
  <c r="I57" i="13" s="1"/>
  <c r="G56" i="13"/>
  <c r="I56" i="13" s="1"/>
  <c r="H55" i="13"/>
  <c r="G55" i="13"/>
  <c r="I55" i="13" s="1"/>
  <c r="G54" i="13"/>
  <c r="H54" i="13" s="1"/>
  <c r="I53" i="13"/>
  <c r="H53" i="13"/>
  <c r="G53" i="13"/>
  <c r="G52" i="13"/>
  <c r="I52" i="13" s="1"/>
  <c r="H51" i="13"/>
  <c r="G51" i="13"/>
  <c r="I51" i="13" s="1"/>
  <c r="I50" i="13"/>
  <c r="G50" i="13"/>
  <c r="H50" i="13" s="1"/>
  <c r="H49" i="13"/>
  <c r="G49" i="13"/>
  <c r="I49" i="13" s="1"/>
  <c r="G48" i="13"/>
  <c r="I48" i="13" s="1"/>
  <c r="H47" i="13"/>
  <c r="G47" i="13"/>
  <c r="I47" i="13" s="1"/>
  <c r="G46" i="13"/>
  <c r="H46" i="13" s="1"/>
  <c r="I45" i="13"/>
  <c r="H45" i="13"/>
  <c r="G45" i="13"/>
  <c r="G44" i="13"/>
  <c r="I44" i="13" s="1"/>
  <c r="H43" i="13"/>
  <c r="G43" i="13"/>
  <c r="I43" i="13" s="1"/>
  <c r="I42" i="13"/>
  <c r="G42" i="13"/>
  <c r="H42" i="13" s="1"/>
  <c r="H41" i="13"/>
  <c r="G41" i="13"/>
  <c r="I41" i="13" s="1"/>
  <c r="G40" i="13"/>
  <c r="I40" i="13" s="1"/>
  <c r="H39" i="13"/>
  <c r="G39" i="13"/>
  <c r="I39" i="13" s="1"/>
  <c r="G38" i="13"/>
  <c r="H38" i="13" s="1"/>
  <c r="I37" i="13"/>
  <c r="H37" i="13"/>
  <c r="G37" i="13"/>
  <c r="G36" i="13"/>
  <c r="I36" i="13" s="1"/>
  <c r="H35" i="13"/>
  <c r="G35" i="13"/>
  <c r="I35" i="13" s="1"/>
  <c r="I34" i="13"/>
  <c r="G34" i="13"/>
  <c r="H34" i="13" s="1"/>
  <c r="H33" i="13"/>
  <c r="G33" i="13"/>
  <c r="I33" i="13" s="1"/>
  <c r="G32" i="13"/>
  <c r="I32" i="13" s="1"/>
  <c r="H31" i="13"/>
  <c r="G31" i="13"/>
  <c r="I31" i="13" s="1"/>
  <c r="G30" i="13"/>
  <c r="H30" i="13" s="1"/>
  <c r="I29" i="13"/>
  <c r="H29" i="13"/>
  <c r="G29" i="13"/>
  <c r="G28" i="13"/>
  <c r="I28" i="13" s="1"/>
  <c r="H27" i="13"/>
  <c r="G27" i="13"/>
  <c r="I27" i="13" s="1"/>
  <c r="I26" i="13"/>
  <c r="G26" i="13"/>
  <c r="H26" i="13" s="1"/>
  <c r="H25" i="13"/>
  <c r="G25" i="13"/>
  <c r="I25" i="13" s="1"/>
  <c r="G24" i="13"/>
  <c r="I24" i="13" s="1"/>
  <c r="H23" i="13"/>
  <c r="G23" i="13"/>
  <c r="I23" i="13" s="1"/>
  <c r="G22" i="13"/>
  <c r="H22" i="13" s="1"/>
  <c r="I21" i="13"/>
  <c r="H21" i="13"/>
  <c r="G21" i="13"/>
  <c r="G20" i="13"/>
  <c r="I20" i="13" s="1"/>
  <c r="H19" i="13"/>
  <c r="G19" i="13"/>
  <c r="I19" i="13" s="1"/>
  <c r="I18" i="13"/>
  <c r="G18" i="13"/>
  <c r="H18" i="13" s="1"/>
  <c r="H17" i="13"/>
  <c r="G17" i="13"/>
  <c r="I17" i="13" s="1"/>
  <c r="G16" i="13"/>
  <c r="I16" i="13" s="1"/>
  <c r="H15" i="13"/>
  <c r="G15" i="13"/>
  <c r="I15" i="13" s="1"/>
  <c r="G14" i="13"/>
  <c r="H14" i="13" s="1"/>
  <c r="I13" i="13"/>
  <c r="H13" i="13"/>
  <c r="G13" i="13"/>
  <c r="G12" i="13"/>
  <c r="I12" i="13" s="1"/>
  <c r="H11" i="13"/>
  <c r="G11" i="13"/>
  <c r="I11" i="13" s="1"/>
  <c r="I10" i="13"/>
  <c r="G10" i="13"/>
  <c r="H10" i="13" s="1"/>
  <c r="H9" i="13"/>
  <c r="G9" i="13"/>
  <c r="I9" i="13" s="1"/>
  <c r="G8" i="13"/>
  <c r="I8" i="13" s="1"/>
  <c r="H7" i="13"/>
  <c r="G7" i="13"/>
  <c r="I7" i="13" s="1"/>
  <c r="G6" i="13"/>
  <c r="H6" i="13" s="1"/>
  <c r="I5" i="13"/>
  <c r="H5" i="13"/>
  <c r="G5" i="13"/>
  <c r="G4" i="13"/>
  <c r="I4" i="13" s="1"/>
  <c r="H3" i="13"/>
  <c r="G3" i="13"/>
  <c r="I3" i="13" s="1"/>
  <c r="I2" i="13"/>
  <c r="G2" i="13"/>
  <c r="H2" i="13" s="1"/>
  <c r="C51" i="10"/>
  <c r="D51" i="10" s="1"/>
  <c r="C50" i="10"/>
  <c r="D50" i="10" s="1"/>
  <c r="C49" i="10"/>
  <c r="D49" i="10" s="1"/>
  <c r="C48" i="10"/>
  <c r="D48" i="10" s="1"/>
  <c r="C47" i="10"/>
  <c r="D47" i="10" s="1"/>
  <c r="C46" i="10"/>
  <c r="D46" i="10" s="1"/>
  <c r="C42" i="10"/>
  <c r="D42" i="10" s="1"/>
  <c r="C41" i="10"/>
  <c r="D41" i="10" s="1"/>
  <c r="C40" i="10"/>
  <c r="D40" i="10" s="1"/>
  <c r="C39" i="10"/>
  <c r="D39" i="10" s="1"/>
  <c r="C38" i="10"/>
  <c r="D38" i="10" s="1"/>
  <c r="C37" i="10"/>
  <c r="D37" i="10" s="1"/>
  <c r="B33" i="10"/>
  <c r="D32" i="10"/>
  <c r="B32" i="10"/>
  <c r="B31" i="10"/>
  <c r="B30" i="10"/>
  <c r="D30" i="10" s="1"/>
  <c r="B29" i="10"/>
  <c r="D29" i="10" s="1"/>
  <c r="B28" i="10"/>
  <c r="D28" i="10" s="1"/>
  <c r="B27" i="10"/>
  <c r="D27" i="10" s="1"/>
  <c r="B26" i="10"/>
  <c r="D26" i="10" s="1"/>
  <c r="B25" i="10"/>
  <c r="D25" i="10" s="1"/>
  <c r="B24" i="10"/>
  <c r="D24" i="10" s="1"/>
  <c r="B23" i="10"/>
  <c r="D23" i="10" s="1"/>
  <c r="E19" i="10"/>
  <c r="F19" i="10" s="1"/>
  <c r="D19" i="10"/>
  <c r="C19" i="10"/>
  <c r="D18" i="10"/>
  <c r="E18" i="10" s="1"/>
  <c r="F18" i="10" s="1"/>
  <c r="C18" i="10"/>
  <c r="E17" i="10"/>
  <c r="F17" i="10" s="1"/>
  <c r="D17" i="10"/>
  <c r="C17" i="10"/>
  <c r="D16" i="10"/>
  <c r="E16" i="10" s="1"/>
  <c r="F16" i="10" s="1"/>
  <c r="C16" i="10"/>
  <c r="E15" i="10"/>
  <c r="F15" i="10" s="1"/>
  <c r="D15" i="10"/>
  <c r="C15" i="10"/>
  <c r="D14" i="10"/>
  <c r="E14" i="10" s="1"/>
  <c r="F14" i="10" s="1"/>
  <c r="C14" i="10"/>
  <c r="D13" i="10"/>
  <c r="E13" i="10" s="1"/>
  <c r="F13" i="10" s="1"/>
  <c r="C13" i="10"/>
  <c r="D12" i="10"/>
  <c r="E12" i="10" s="1"/>
  <c r="F12" i="10" s="1"/>
  <c r="C12" i="10"/>
  <c r="D11" i="10"/>
  <c r="E11" i="10" s="1"/>
  <c r="F11" i="10" s="1"/>
  <c r="C11" i="10"/>
  <c r="D10" i="10"/>
  <c r="E10" i="10" s="1"/>
  <c r="F10" i="10" s="1"/>
  <c r="C10" i="10"/>
  <c r="D9" i="10"/>
  <c r="E9" i="10" s="1"/>
  <c r="F9" i="10" s="1"/>
  <c r="C9" i="10"/>
  <c r="D8" i="10"/>
  <c r="E8" i="10" s="1"/>
  <c r="F8" i="10" s="1"/>
  <c r="C8" i="10"/>
  <c r="D7" i="10"/>
  <c r="E7" i="10" s="1"/>
  <c r="F7" i="10" s="1"/>
  <c r="C7" i="10"/>
  <c r="D6" i="10"/>
  <c r="C6" i="10"/>
  <c r="D50" i="9"/>
  <c r="C50" i="9"/>
  <c r="B50" i="9"/>
  <c r="E50" i="9" s="1"/>
  <c r="D49" i="9"/>
  <c r="C49" i="9"/>
  <c r="B49" i="9"/>
  <c r="E49" i="9" s="1"/>
  <c r="D48" i="9"/>
  <c r="C48" i="9"/>
  <c r="B48" i="9"/>
  <c r="E48" i="9" s="1"/>
  <c r="D47" i="9"/>
  <c r="C47" i="9"/>
  <c r="B47" i="9"/>
  <c r="E47" i="9" s="1"/>
  <c r="D46" i="9"/>
  <c r="C46" i="9"/>
  <c r="B46" i="9"/>
  <c r="E46" i="9" s="1"/>
  <c r="D45" i="9"/>
  <c r="C45" i="9"/>
  <c r="B45" i="9"/>
  <c r="E45" i="9" s="1"/>
  <c r="D44" i="9"/>
  <c r="C44" i="9"/>
  <c r="B44" i="9"/>
  <c r="E44" i="9" s="1"/>
  <c r="D43" i="9"/>
  <c r="D51" i="9" s="1"/>
  <c r="C43" i="9"/>
  <c r="C51" i="9" s="1"/>
  <c r="B43" i="9"/>
  <c r="E43" i="9" s="1"/>
  <c r="E38" i="9"/>
  <c r="C38" i="9"/>
  <c r="D38" i="9" s="1"/>
  <c r="B38" i="9"/>
  <c r="E37" i="9"/>
  <c r="C37" i="9"/>
  <c r="D37" i="9" s="1"/>
  <c r="B37" i="9"/>
  <c r="E36" i="9"/>
  <c r="C36" i="9"/>
  <c r="D36" i="9" s="1"/>
  <c r="B36" i="9"/>
  <c r="E35" i="9"/>
  <c r="E39" i="9" s="1"/>
  <c r="C35" i="9"/>
  <c r="C39" i="9" s="1"/>
  <c r="B35" i="9"/>
  <c r="B39" i="9" s="1"/>
  <c r="C30" i="9"/>
  <c r="B30" i="9"/>
  <c r="D30" i="9" s="1"/>
  <c r="D29" i="9"/>
  <c r="C29" i="9"/>
  <c r="B29" i="9"/>
  <c r="C28" i="9"/>
  <c r="D28" i="9" s="1"/>
  <c r="B28" i="9"/>
  <c r="C27" i="9"/>
  <c r="B27" i="9"/>
  <c r="D27" i="9" s="1"/>
  <c r="C26" i="9"/>
  <c r="B26" i="9"/>
  <c r="D26" i="9" s="1"/>
  <c r="D25" i="9"/>
  <c r="C25" i="9"/>
  <c r="B25" i="9"/>
  <c r="C24" i="9"/>
  <c r="D24" i="9" s="1"/>
  <c r="B24" i="9"/>
  <c r="C23" i="9"/>
  <c r="B23" i="9"/>
  <c r="D23" i="9" s="1"/>
  <c r="C22" i="9"/>
  <c r="B22" i="9"/>
  <c r="D22" i="9" s="1"/>
  <c r="D21" i="9"/>
  <c r="C21" i="9"/>
  <c r="B21" i="9"/>
  <c r="C20" i="9"/>
  <c r="D20" i="9" s="1"/>
  <c r="B20" i="9"/>
  <c r="C19" i="9"/>
  <c r="B19" i="9"/>
  <c r="D19" i="9" s="1"/>
  <c r="C18" i="9"/>
  <c r="B18" i="9"/>
  <c r="D18" i="9" s="1"/>
  <c r="D17" i="9"/>
  <c r="C17" i="9"/>
  <c r="B17" i="9"/>
  <c r="C16" i="9"/>
  <c r="D16" i="9" s="1"/>
  <c r="B16" i="9"/>
  <c r="C15" i="9"/>
  <c r="B15" i="9"/>
  <c r="D15" i="9" s="1"/>
  <c r="C14" i="9"/>
  <c r="B14" i="9"/>
  <c r="D14" i="9" s="1"/>
  <c r="D13" i="9"/>
  <c r="C13" i="9"/>
  <c r="B13" i="9"/>
  <c r="C12" i="9"/>
  <c r="D12" i="9" s="1"/>
  <c r="B12" i="9"/>
  <c r="C11" i="9"/>
  <c r="B11" i="9"/>
  <c r="D11" i="9" s="1"/>
  <c r="C10" i="9"/>
  <c r="B10" i="9"/>
  <c r="D10" i="9" s="1"/>
  <c r="D9" i="9"/>
  <c r="C9" i="9"/>
  <c r="B9" i="9"/>
  <c r="C8" i="9"/>
  <c r="D8" i="9" s="1"/>
  <c r="B8" i="9"/>
  <c r="C7" i="9"/>
  <c r="C31" i="9" s="1"/>
  <c r="B7" i="9"/>
  <c r="D7" i="9" s="1"/>
  <c r="C6" i="9"/>
  <c r="B6" i="9"/>
  <c r="D6" i="9" s="1"/>
  <c r="F64" i="8"/>
  <c r="E64" i="8"/>
  <c r="D64" i="8"/>
  <c r="C64" i="8"/>
  <c r="F63" i="8"/>
  <c r="E63" i="8"/>
  <c r="D63" i="8"/>
  <c r="C63" i="8"/>
  <c r="F62" i="8"/>
  <c r="G62" i="8" s="1"/>
  <c r="E62" i="8"/>
  <c r="D62" i="8"/>
  <c r="C62" i="8"/>
  <c r="F61" i="8"/>
  <c r="G61" i="8" s="1"/>
  <c r="E61" i="8"/>
  <c r="D61" i="8"/>
  <c r="C61" i="8"/>
  <c r="F60" i="8"/>
  <c r="E60" i="8"/>
  <c r="D60" i="8"/>
  <c r="C60" i="8"/>
  <c r="F59" i="8"/>
  <c r="E59" i="8"/>
  <c r="D59" i="8"/>
  <c r="C59" i="8"/>
  <c r="F58" i="8"/>
  <c r="G58" i="8" s="1"/>
  <c r="E58" i="8"/>
  <c r="D58" i="8"/>
  <c r="C58" i="8"/>
  <c r="F57" i="8"/>
  <c r="G57" i="8" s="1"/>
  <c r="E57" i="8"/>
  <c r="D57" i="8"/>
  <c r="C57" i="8"/>
  <c r="F56" i="8"/>
  <c r="E56" i="8"/>
  <c r="D56" i="8"/>
  <c r="C56" i="8"/>
  <c r="F55" i="8"/>
  <c r="E55" i="8"/>
  <c r="D55" i="8"/>
  <c r="C55" i="8"/>
  <c r="F54" i="8"/>
  <c r="G54" i="8" s="1"/>
  <c r="E54" i="8"/>
  <c r="D54" i="8"/>
  <c r="C54" i="8"/>
  <c r="F53" i="8"/>
  <c r="G53" i="8" s="1"/>
  <c r="E53" i="8"/>
  <c r="D53" i="8"/>
  <c r="C53" i="8"/>
  <c r="F52" i="8"/>
  <c r="E52" i="8"/>
  <c r="D52" i="8"/>
  <c r="C52" i="8"/>
  <c r="F51" i="8"/>
  <c r="E51" i="8"/>
  <c r="D51" i="8"/>
  <c r="C51" i="8"/>
  <c r="F50" i="8"/>
  <c r="G50" i="8" s="1"/>
  <c r="E50" i="8"/>
  <c r="D50" i="8"/>
  <c r="C50" i="8"/>
  <c r="F49" i="8"/>
  <c r="G49" i="8" s="1"/>
  <c r="E49" i="8"/>
  <c r="D49" i="8"/>
  <c r="C49" i="8"/>
  <c r="F48" i="8"/>
  <c r="E48" i="8"/>
  <c r="D48" i="8"/>
  <c r="C48" i="8"/>
  <c r="F47" i="8"/>
  <c r="E47" i="8"/>
  <c r="D47" i="8"/>
  <c r="C47" i="8"/>
  <c r="F46" i="8"/>
  <c r="G46" i="8" s="1"/>
  <c r="E46" i="8"/>
  <c r="D46" i="8"/>
  <c r="C46" i="8"/>
  <c r="F45" i="8"/>
  <c r="G45" i="8" s="1"/>
  <c r="E45" i="8"/>
  <c r="D45" i="8"/>
  <c r="C45" i="8"/>
  <c r="F44" i="8"/>
  <c r="E44" i="8"/>
  <c r="D44" i="8"/>
  <c r="C44" i="8"/>
  <c r="F43" i="8"/>
  <c r="E43" i="8"/>
  <c r="D43" i="8"/>
  <c r="C43" i="8"/>
  <c r="F42" i="8"/>
  <c r="G42" i="8" s="1"/>
  <c r="E42" i="8"/>
  <c r="D42" i="8"/>
  <c r="C42" i="8"/>
  <c r="F41" i="8"/>
  <c r="G41" i="8" s="1"/>
  <c r="E41" i="8"/>
  <c r="D41" i="8"/>
  <c r="C41" i="8"/>
  <c r="F40" i="8"/>
  <c r="E40" i="8"/>
  <c r="D40" i="8"/>
  <c r="C40" i="8"/>
  <c r="F39" i="8"/>
  <c r="E39" i="8"/>
  <c r="D39" i="8"/>
  <c r="C39" i="8"/>
  <c r="F38" i="8"/>
  <c r="G38" i="8" s="1"/>
  <c r="E38" i="8"/>
  <c r="D38" i="8"/>
  <c r="C38" i="8"/>
  <c r="F37" i="8"/>
  <c r="G37" i="8" s="1"/>
  <c r="E37" i="8"/>
  <c r="D37" i="8"/>
  <c r="C37" i="8"/>
  <c r="F36" i="8"/>
  <c r="E36" i="8"/>
  <c r="D36" i="8"/>
  <c r="C36" i="8"/>
  <c r="F35" i="8"/>
  <c r="E35" i="8"/>
  <c r="D35" i="8"/>
  <c r="C35" i="8"/>
  <c r="F34" i="8"/>
  <c r="G34" i="8" s="1"/>
  <c r="E34" i="8"/>
  <c r="D34" i="8"/>
  <c r="C34" i="8"/>
  <c r="F33" i="8"/>
  <c r="G33" i="8" s="1"/>
  <c r="E33" i="8"/>
  <c r="D33" i="8"/>
  <c r="C33" i="8"/>
  <c r="F32" i="8"/>
  <c r="E32" i="8"/>
  <c r="D32" i="8"/>
  <c r="C32" i="8"/>
  <c r="F31" i="8"/>
  <c r="E31" i="8"/>
  <c r="D31" i="8"/>
  <c r="C31" i="8"/>
  <c r="F30" i="8"/>
  <c r="G30" i="8" s="1"/>
  <c r="E30" i="8"/>
  <c r="D30" i="8"/>
  <c r="C30" i="8"/>
  <c r="F29" i="8"/>
  <c r="G29" i="8" s="1"/>
  <c r="E29" i="8"/>
  <c r="D29" i="8"/>
  <c r="C29" i="8"/>
  <c r="F28" i="8"/>
  <c r="E28" i="8"/>
  <c r="D28" i="8"/>
  <c r="C28" i="8"/>
  <c r="F27" i="8"/>
  <c r="E27" i="8"/>
  <c r="D27" i="8"/>
  <c r="C27" i="8"/>
  <c r="F26" i="8"/>
  <c r="G26" i="8" s="1"/>
  <c r="E26" i="8"/>
  <c r="D26" i="8"/>
  <c r="C26" i="8"/>
  <c r="F25" i="8"/>
  <c r="G25" i="8" s="1"/>
  <c r="E25" i="8"/>
  <c r="D25" i="8"/>
  <c r="C25" i="8"/>
  <c r="F24" i="8"/>
  <c r="E24" i="8"/>
  <c r="D24" i="8"/>
  <c r="C24" i="8"/>
  <c r="F23" i="8"/>
  <c r="E23" i="8"/>
  <c r="D23" i="8"/>
  <c r="C23" i="8"/>
  <c r="F22" i="8"/>
  <c r="G22" i="8" s="1"/>
  <c r="E22" i="8"/>
  <c r="D22" i="8"/>
  <c r="C22" i="8"/>
  <c r="F21" i="8"/>
  <c r="G21" i="8" s="1"/>
  <c r="E21" i="8"/>
  <c r="D21" i="8"/>
  <c r="C21" i="8"/>
  <c r="F20" i="8"/>
  <c r="E20" i="8"/>
  <c r="D20" i="8"/>
  <c r="C20" i="8"/>
  <c r="F19" i="8"/>
  <c r="E19" i="8"/>
  <c r="D19" i="8"/>
  <c r="C19" i="8"/>
  <c r="F18" i="8"/>
  <c r="G18" i="8" s="1"/>
  <c r="E18" i="8"/>
  <c r="D18" i="8"/>
  <c r="C18" i="8"/>
  <c r="F17" i="8"/>
  <c r="G17" i="8" s="1"/>
  <c r="E17" i="8"/>
  <c r="D17" i="8"/>
  <c r="C17" i="8"/>
  <c r="F16" i="8"/>
  <c r="E16" i="8"/>
  <c r="D16" i="8"/>
  <c r="C16" i="8"/>
  <c r="F15" i="8"/>
  <c r="E15" i="8"/>
  <c r="D15" i="8"/>
  <c r="C15" i="8"/>
  <c r="F14" i="8"/>
  <c r="G14" i="8" s="1"/>
  <c r="E14" i="8"/>
  <c r="D14" i="8"/>
  <c r="C14" i="8"/>
  <c r="F13" i="8"/>
  <c r="G13" i="8" s="1"/>
  <c r="E13" i="8"/>
  <c r="D13" i="8"/>
  <c r="C13" i="8"/>
  <c r="F12" i="8"/>
  <c r="E12" i="8"/>
  <c r="D12" i="8"/>
  <c r="C12" i="8"/>
  <c r="F11" i="8"/>
  <c r="E11" i="8"/>
  <c r="D11" i="8"/>
  <c r="C11" i="8"/>
  <c r="F10" i="8"/>
  <c r="G10" i="8" s="1"/>
  <c r="E10" i="8"/>
  <c r="D10" i="8"/>
  <c r="C10" i="8"/>
  <c r="F9" i="8"/>
  <c r="G9" i="8" s="1"/>
  <c r="E9" i="8"/>
  <c r="D9" i="8"/>
  <c r="C9" i="8"/>
  <c r="F8" i="8"/>
  <c r="E8" i="8"/>
  <c r="D8" i="8"/>
  <c r="C8" i="8"/>
  <c r="F7" i="8"/>
  <c r="E7" i="8"/>
  <c r="D7" i="8"/>
  <c r="C7" i="8"/>
  <c r="F6" i="8"/>
  <c r="G6" i="8" s="1"/>
  <c r="E6" i="8"/>
  <c r="D6" i="8"/>
  <c r="C6" i="8"/>
  <c r="F5" i="8"/>
  <c r="G56" i="8" s="1"/>
  <c r="E5" i="8"/>
  <c r="D5" i="8"/>
  <c r="C5" i="8"/>
  <c r="E11" i="7"/>
  <c r="E10" i="7"/>
  <c r="B10" i="7"/>
  <c r="E9" i="7"/>
  <c r="B9" i="7"/>
  <c r="G5" i="7"/>
  <c r="E5" i="7"/>
  <c r="C5" i="7"/>
  <c r="A5" i="7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E12" i="6"/>
  <c r="D12" i="6"/>
  <c r="C12" i="6"/>
  <c r="B12" i="6"/>
  <c r="H11" i="6"/>
  <c r="E11" i="6"/>
  <c r="D11" i="6"/>
  <c r="C11" i="6"/>
  <c r="B11" i="6"/>
  <c r="H10" i="6"/>
  <c r="E10" i="6"/>
  <c r="D10" i="6"/>
  <c r="C10" i="6"/>
  <c r="B10" i="6"/>
  <c r="H9" i="6"/>
  <c r="E9" i="6"/>
  <c r="D9" i="6"/>
  <c r="C9" i="6"/>
  <c r="B9" i="6"/>
  <c r="G5" i="6"/>
  <c r="E5" i="6"/>
  <c r="C5" i="6"/>
  <c r="A5" i="6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16" i="5"/>
  <c r="B16" i="5"/>
  <c r="C15" i="5"/>
  <c r="B15" i="5"/>
  <c r="C14" i="5"/>
  <c r="B14" i="5"/>
  <c r="C13" i="5"/>
  <c r="B13" i="5"/>
  <c r="C12" i="5"/>
  <c r="B12" i="5"/>
  <c r="G11" i="5"/>
  <c r="F11" i="5"/>
  <c r="C11" i="5"/>
  <c r="B11" i="5"/>
  <c r="G10" i="5"/>
  <c r="F10" i="5"/>
  <c r="C10" i="5"/>
  <c r="B10" i="5"/>
  <c r="G9" i="5"/>
  <c r="F9" i="5"/>
  <c r="C9" i="5"/>
  <c r="B9" i="5"/>
  <c r="E5" i="5"/>
  <c r="C5" i="5"/>
  <c r="A5" i="5"/>
  <c r="F33" i="4"/>
  <c r="F32" i="4"/>
  <c r="F31" i="4"/>
  <c r="F30" i="4"/>
  <c r="F29" i="4"/>
  <c r="F28" i="4"/>
  <c r="C28" i="4"/>
  <c r="F27" i="4"/>
  <c r="C27" i="4"/>
  <c r="F26" i="4"/>
  <c r="C26" i="4"/>
  <c r="F25" i="4"/>
  <c r="C25" i="4"/>
  <c r="F24" i="4"/>
  <c r="C24" i="4"/>
  <c r="F23" i="4"/>
  <c r="C23" i="4"/>
  <c r="F22" i="4"/>
  <c r="C22" i="4"/>
  <c r="F21" i="4"/>
  <c r="C21" i="4"/>
  <c r="F20" i="4"/>
  <c r="C20" i="4"/>
  <c r="F19" i="4"/>
  <c r="C19" i="4"/>
  <c r="F18" i="4"/>
  <c r="F17" i="4"/>
  <c r="F16" i="4"/>
  <c r="F15" i="4"/>
  <c r="C15" i="4"/>
  <c r="B15" i="4"/>
  <c r="F14" i="4"/>
  <c r="C14" i="4"/>
  <c r="B14" i="4"/>
  <c r="F13" i="4"/>
  <c r="F12" i="4"/>
  <c r="F11" i="4"/>
  <c r="F10" i="4"/>
  <c r="B10" i="4"/>
  <c r="F9" i="4"/>
  <c r="B9" i="4"/>
  <c r="G5" i="4"/>
  <c r="E5" i="4"/>
  <c r="C5" i="4"/>
  <c r="A5" i="4"/>
  <c r="E68" i="3"/>
  <c r="E67" i="3"/>
  <c r="E66" i="3"/>
  <c r="E65" i="3"/>
  <c r="E64" i="3"/>
  <c r="E63" i="3"/>
  <c r="E62" i="3"/>
  <c r="E61" i="3"/>
  <c r="E60" i="3"/>
  <c r="E59" i="3"/>
  <c r="E58" i="3"/>
  <c r="E57" i="3"/>
  <c r="H56" i="3"/>
  <c r="E56" i="3"/>
  <c r="H55" i="3"/>
  <c r="E55" i="3"/>
  <c r="H54" i="3"/>
  <c r="E54" i="3"/>
  <c r="H53" i="3"/>
  <c r="E53" i="3"/>
  <c r="H52" i="3"/>
  <c r="E52" i="3"/>
  <c r="H51" i="3"/>
  <c r="E51" i="3"/>
  <c r="H50" i="3"/>
  <c r="E50" i="3"/>
  <c r="H49" i="3"/>
  <c r="E49" i="3"/>
  <c r="H48" i="3"/>
  <c r="E48" i="3"/>
  <c r="H47" i="3"/>
  <c r="E47" i="3"/>
  <c r="H46" i="3"/>
  <c r="E46" i="3"/>
  <c r="H45" i="3"/>
  <c r="E45" i="3"/>
  <c r="H44" i="3"/>
  <c r="E44" i="3"/>
  <c r="H43" i="3"/>
  <c r="E43" i="3"/>
  <c r="H42" i="3"/>
  <c r="E42" i="3"/>
  <c r="H41" i="3"/>
  <c r="E41" i="3"/>
  <c r="H40" i="3"/>
  <c r="E40" i="3"/>
  <c r="H39" i="3"/>
  <c r="E39" i="3"/>
  <c r="H38" i="3"/>
  <c r="E38" i="3"/>
  <c r="H37" i="3"/>
  <c r="E37" i="3"/>
  <c r="H36" i="3"/>
  <c r="E36" i="3"/>
  <c r="H35" i="3"/>
  <c r="E35" i="3"/>
  <c r="H34" i="3"/>
  <c r="E34" i="3"/>
  <c r="H33" i="3"/>
  <c r="E33" i="3"/>
  <c r="H32" i="3"/>
  <c r="E32" i="3"/>
  <c r="B32" i="3"/>
  <c r="H31" i="3"/>
  <c r="E31" i="3"/>
  <c r="B31" i="3"/>
  <c r="H30" i="3"/>
  <c r="E30" i="3"/>
  <c r="B30" i="3"/>
  <c r="H29" i="3"/>
  <c r="E29" i="3"/>
  <c r="B29" i="3"/>
  <c r="H28" i="3"/>
  <c r="E28" i="3"/>
  <c r="B28" i="3"/>
  <c r="H27" i="3"/>
  <c r="E27" i="3"/>
  <c r="B27" i="3"/>
  <c r="H26" i="3"/>
  <c r="E26" i="3"/>
  <c r="B26" i="3"/>
  <c r="H25" i="3"/>
  <c r="E25" i="3"/>
  <c r="B25" i="3"/>
  <c r="H24" i="3"/>
  <c r="E24" i="3"/>
  <c r="B24" i="3"/>
  <c r="H23" i="3"/>
  <c r="E23" i="3"/>
  <c r="B23" i="3"/>
  <c r="H22" i="3"/>
  <c r="E22" i="3"/>
  <c r="B22" i="3"/>
  <c r="H21" i="3"/>
  <c r="E21" i="3"/>
  <c r="B21" i="3"/>
  <c r="H20" i="3"/>
  <c r="E20" i="3"/>
  <c r="B20" i="3"/>
  <c r="H19" i="3"/>
  <c r="E19" i="3"/>
  <c r="B19" i="3"/>
  <c r="H18" i="3"/>
  <c r="E18" i="3"/>
  <c r="B18" i="3"/>
  <c r="H17" i="3"/>
  <c r="E17" i="3"/>
  <c r="B17" i="3"/>
  <c r="H16" i="3"/>
  <c r="E16" i="3"/>
  <c r="B16" i="3"/>
  <c r="H15" i="3"/>
  <c r="E15" i="3"/>
  <c r="B15" i="3"/>
  <c r="H14" i="3"/>
  <c r="E14" i="3"/>
  <c r="B14" i="3"/>
  <c r="H13" i="3"/>
  <c r="E13" i="3"/>
  <c r="B13" i="3"/>
  <c r="H12" i="3"/>
  <c r="E12" i="3"/>
  <c r="B12" i="3"/>
  <c r="H11" i="3"/>
  <c r="E11" i="3"/>
  <c r="B11" i="3"/>
  <c r="H10" i="3"/>
  <c r="E10" i="3"/>
  <c r="B10" i="3"/>
  <c r="H9" i="3"/>
  <c r="E9" i="3"/>
  <c r="B9" i="3"/>
  <c r="E5" i="3"/>
  <c r="C5" i="3"/>
  <c r="A5" i="3"/>
  <c r="F6" i="1"/>
  <c r="E6" i="1"/>
  <c r="D6" i="1"/>
  <c r="C6" i="1"/>
  <c r="B6" i="1"/>
  <c r="A6" i="1"/>
  <c r="D31" i="9" l="1"/>
  <c r="E51" i="9"/>
  <c r="D35" i="9"/>
  <c r="D39" i="9" s="1"/>
  <c r="E6" i="10"/>
  <c r="F6" i="10" s="1"/>
  <c r="E9" i="1" s="1"/>
  <c r="I6" i="13"/>
  <c r="I14" i="13"/>
  <c r="I22" i="13"/>
  <c r="I30" i="13"/>
  <c r="I38" i="13"/>
  <c r="I46" i="13"/>
  <c r="I54" i="13"/>
  <c r="I62" i="13"/>
  <c r="I70" i="13"/>
  <c r="I78" i="13"/>
  <c r="G8" i="8"/>
  <c r="G16" i="8"/>
  <c r="G5" i="8"/>
  <c r="H4" i="13"/>
  <c r="H12" i="13"/>
  <c r="H20" i="13"/>
  <c r="H28" i="13"/>
  <c r="H36" i="13"/>
  <c r="H44" i="13"/>
  <c r="H52" i="13"/>
  <c r="H60" i="13"/>
  <c r="H68" i="13"/>
  <c r="H76" i="13"/>
  <c r="G32" i="8"/>
  <c r="G40" i="8"/>
  <c r="G64" i="8"/>
  <c r="G7" i="8"/>
  <c r="G15" i="8"/>
  <c r="G23" i="8"/>
  <c r="G31" i="8"/>
  <c r="G39" i="8"/>
  <c r="G47" i="8"/>
  <c r="G55" i="8"/>
  <c r="G63" i="8"/>
  <c r="B51" i="9"/>
  <c r="G20" i="8"/>
  <c r="G52" i="8"/>
  <c r="G12" i="8"/>
  <c r="G28" i="8"/>
  <c r="G36" i="8"/>
  <c r="G60" i="8"/>
  <c r="B31" i="9"/>
  <c r="H8" i="13"/>
  <c r="H16" i="13"/>
  <c r="H24" i="13"/>
  <c r="H32" i="13"/>
  <c r="H40" i="13"/>
  <c r="H48" i="13"/>
  <c r="H56" i="13"/>
  <c r="H64" i="13"/>
  <c r="H72" i="13"/>
  <c r="H80" i="13"/>
  <c r="G44" i="8"/>
  <c r="G11" i="8"/>
  <c r="G19" i="8"/>
  <c r="G27" i="8"/>
  <c r="G35" i="8"/>
  <c r="G43" i="8"/>
  <c r="G51" i="8"/>
  <c r="G59" i="8"/>
  <c r="G24" i="8"/>
  <c r="G48" i="8"/>
</calcChain>
</file>

<file path=xl/sharedStrings.xml><?xml version="1.0" encoding="utf-8"?>
<sst xmlns="http://schemas.openxmlformats.org/spreadsheetml/2006/main" count="3256" uniqueCount="1273">
  <si>
    <t>Banking Database — Excel Analysis &amp; Power BI Dataset</t>
  </si>
  <si>
    <t>Key Figures  (live)</t>
  </si>
  <si>
    <t>Customers</t>
  </si>
  <si>
    <t>Accounts</t>
  </si>
  <si>
    <t>Total Balance</t>
  </si>
  <si>
    <t>Transactions</t>
  </si>
  <si>
    <t>Loans</t>
  </si>
  <si>
    <t>Cards</t>
  </si>
  <si>
    <t>Data Quality Status</t>
  </si>
  <si>
    <t>Overall result of all validation checks:</t>
  </si>
  <si>
    <t>Workbook Contents</t>
  </si>
  <si>
    <t>Dashboard</t>
  </si>
  <si>
    <t>Six charts summarising balances, accounts, transactions, loans and cards.</t>
  </si>
  <si>
    <t>1–6 Analysis sheets</t>
  </si>
  <si>
    <t>SQL Part-1..6 results rebuilt as live COUNTIF / SUMIF / AVERAGEIF formulas.</t>
  </si>
  <si>
    <t>Pivot_Tables</t>
  </si>
  <si>
    <t>Formula-driven cross-tabs (accounts, loans, transactions).</t>
  </si>
  <si>
    <t>Data_Quality</t>
  </si>
  <si>
    <t>Row counts, duplicate-key, missing-value, referential-integrity &amp; domain checks.</t>
  </si>
  <si>
    <t>Raw tables (14)</t>
  </si>
  <si>
    <t>BRANCHES … AUDIT_LOG — each an Excel Table (tbl_*), the Power BI source.</t>
  </si>
  <si>
    <t>Power BI Preparation</t>
  </si>
  <si>
    <t>•  All 14 raw tables are clean Excel Tables (tbl_BRANCHES … tbl_AUDIT_LOG): one header row, typed columns, no blanks in keys.</t>
  </si>
  <si>
    <t>•  Load with Power BI → Get Data → Excel → pick the tbl_* tables (not the analysis/pivot sheets).</t>
  </si>
  <si>
    <t>•  Model relationships (star schema): BRANCHES 1—* CUSTOMERS 1—* ACCOUNTS 1—* TRANSACTIONS / CARDS / FEES / TRANSFERS / STANDING_ORDERS.</t>
  </si>
  <si>
    <t>•  CUSTOMERS 1—* LOANS 1—* LOAN_PAYMENTS;  CUSTOMERS 1—* BENEFICIARIES;  BRANCHES 1—* EMPLOYEES / ATM_MACHINES.</t>
  </si>
  <si>
    <t>•  ACCOUNTS &amp; LOANS include derived branch_id / branch_name (green headers) so branch metrics work without extra joins.</t>
  </si>
  <si>
    <t>•  Date columns are real dates — add a Date dimension in Power BI for time intelligence.</t>
  </si>
  <si>
    <t>Legend</t>
  </si>
  <si>
    <t>Blue header</t>
  </si>
  <si>
    <t>raw / analysis column</t>
  </si>
  <si>
    <t>Green header</t>
  </si>
  <si>
    <t>derived column (added for Power BI)</t>
  </si>
  <si>
    <t>Green cell</t>
  </si>
  <si>
    <t>check passed</t>
  </si>
  <si>
    <t>Red cell</t>
  </si>
  <si>
    <t>check failed</t>
  </si>
  <si>
    <t>Yellow cell</t>
  </si>
  <si>
    <t>expected / review</t>
  </si>
  <si>
    <t>Banking Analytics Dashboard</t>
  </si>
  <si>
    <t>1  •  Customer Analysis</t>
  </si>
  <si>
    <t>Live formulas referencing the raw CUSTOMERS / BRANCHES sheets.</t>
  </si>
  <si>
    <t>TOTAL CUSTOMERS</t>
  </si>
  <si>
    <t>CITIES</t>
  </si>
  <si>
    <t>BRANCHES USED</t>
  </si>
  <si>
    <t>1.2  Customers by City</t>
  </si>
  <si>
    <t>1.3  Customers by Branch  (all branches, LEFT JOIN)</t>
  </si>
  <si>
    <t>1.4  Monthly Registrations</t>
  </si>
  <si>
    <t>City</t>
  </si>
  <si>
    <t>Branch</t>
  </si>
  <si>
    <t>Month</t>
  </si>
  <si>
    <t>New Customers</t>
  </si>
  <si>
    <t>New York</t>
  </si>
  <si>
    <t>Bay Branch</t>
  </si>
  <si>
    <t>2017-08</t>
  </si>
  <si>
    <t>Miami</t>
  </si>
  <si>
    <t>NorthWest Branch</t>
  </si>
  <si>
    <t>2018-03</t>
  </si>
  <si>
    <t>Dallas</t>
  </si>
  <si>
    <t>North Branch</t>
  </si>
  <si>
    <t>2018-05</t>
  </si>
  <si>
    <t>Seattle</t>
  </si>
  <si>
    <t>South Branch</t>
  </si>
  <si>
    <t>2018-06</t>
  </si>
  <si>
    <t>Boston</t>
  </si>
  <si>
    <t>Harbor Branch</t>
  </si>
  <si>
    <t>2018-07</t>
  </si>
  <si>
    <t>Denver</t>
  </si>
  <si>
    <t>Midtown Branch</t>
  </si>
  <si>
    <t>2018-08</t>
  </si>
  <si>
    <t>Los Angeles</t>
  </si>
  <si>
    <t>Riverside Branch</t>
  </si>
  <si>
    <t>2018-11</t>
  </si>
  <si>
    <t>Chicago</t>
  </si>
  <si>
    <t>Sixth Street Branch</t>
  </si>
  <si>
    <t>2018-12</t>
  </si>
  <si>
    <t>Houston</t>
  </si>
  <si>
    <t>Downtown Branch</t>
  </si>
  <si>
    <t>2019-01</t>
  </si>
  <si>
    <t>San Francisco</t>
  </si>
  <si>
    <t>Central Branch</t>
  </si>
  <si>
    <t>2019-02</t>
  </si>
  <si>
    <t>Phoenix</t>
  </si>
  <si>
    <t>Main Branch</t>
  </si>
  <si>
    <t>2019-03</t>
  </si>
  <si>
    <t>Philadelphia</t>
  </si>
  <si>
    <t>Metro Branch</t>
  </si>
  <si>
    <t>2019-04</t>
  </si>
  <si>
    <t>Atlanta</t>
  </si>
  <si>
    <t>Uptown Branch</t>
  </si>
  <si>
    <t>2019-07</t>
  </si>
  <si>
    <t>Portland</t>
  </si>
  <si>
    <t>Research Branch</t>
  </si>
  <si>
    <t>2019-09</t>
  </si>
  <si>
    <t>Las Vegas</t>
  </si>
  <si>
    <t>West Branch</t>
  </si>
  <si>
    <t>2019-10</t>
  </si>
  <si>
    <t>Nashville</t>
  </si>
  <si>
    <t>Strip Branch</t>
  </si>
  <si>
    <t>2019-11</t>
  </si>
  <si>
    <t>Austin</t>
  </si>
  <si>
    <t>Garden Branch</t>
  </si>
  <si>
    <t>2019-12</t>
  </si>
  <si>
    <t>San Diego</t>
  </si>
  <si>
    <t>Lakeside Branch</t>
  </si>
  <si>
    <t>2020-01</t>
  </si>
  <si>
    <t>Detroit</t>
  </si>
  <si>
    <t>2020-02</t>
  </si>
  <si>
    <t>Minneapolis</t>
  </si>
  <si>
    <t>Broadway Branch</t>
  </si>
  <si>
    <t>2020-03</t>
  </si>
  <si>
    <t>St. Louis</t>
  </si>
  <si>
    <t>Inner Harbor Branch</t>
  </si>
  <si>
    <t>2020-04</t>
  </si>
  <si>
    <t>Baltimore</t>
  </si>
  <si>
    <t>Gaslamp Branch</t>
  </si>
  <si>
    <t>2020-05</t>
  </si>
  <si>
    <t>Raleigh</t>
  </si>
  <si>
    <t>2020-06</t>
  </si>
  <si>
    <t>Charlotte</t>
  </si>
  <si>
    <t>Gateway Branch</t>
  </si>
  <si>
    <t>2020-07</t>
  </si>
  <si>
    <t>East Branch</t>
  </si>
  <si>
    <t>2020-08</t>
  </si>
  <si>
    <t>East Side Branch</t>
  </si>
  <si>
    <t>2020-09</t>
  </si>
  <si>
    <t>Sunset Branch</t>
  </si>
  <si>
    <t>2020-10</t>
  </si>
  <si>
    <t>Midway Branch</t>
  </si>
  <si>
    <t>2020-11</t>
  </si>
  <si>
    <t>River Oaks Branch</t>
  </si>
  <si>
    <t>2021-01</t>
  </si>
  <si>
    <t>Coconut Grove Branch</t>
  </si>
  <si>
    <t>2021-02</t>
  </si>
  <si>
    <t>2021-03</t>
  </si>
  <si>
    <t>Capitol Hill Branch</t>
  </si>
  <si>
    <t>2021-05</t>
  </si>
  <si>
    <t>Back Bay Branch</t>
  </si>
  <si>
    <t>2021-06</t>
  </si>
  <si>
    <t>Cherry Creek Branch</t>
  </si>
  <si>
    <t>2021-07</t>
  </si>
  <si>
    <t>Financial District</t>
  </si>
  <si>
    <t>2021-08</t>
  </si>
  <si>
    <t>Scottsdale Branch</t>
  </si>
  <si>
    <t>2021-09</t>
  </si>
  <si>
    <t>Center City Branch</t>
  </si>
  <si>
    <t>2021-10</t>
  </si>
  <si>
    <t>Buckhead Branch</t>
  </si>
  <si>
    <t>2021-12</t>
  </si>
  <si>
    <t>Pearl District Branch</t>
  </si>
  <si>
    <t>2022-01</t>
  </si>
  <si>
    <t>Circle Center Branch</t>
  </si>
  <si>
    <t>2022-02</t>
  </si>
  <si>
    <t>Short North Branch</t>
  </si>
  <si>
    <t>2022-03</t>
  </si>
  <si>
    <t>2022-04</t>
  </si>
  <si>
    <t>2022-06</t>
  </si>
  <si>
    <t>Bardstown Branch</t>
  </si>
  <si>
    <t>2022-07</t>
  </si>
  <si>
    <t>Carytown Branch</t>
  </si>
  <si>
    <t>2022-08</t>
  </si>
  <si>
    <t>Plaza Branch</t>
  </si>
  <si>
    <t>2022-09</t>
  </si>
  <si>
    <t>Temple Square Branch</t>
  </si>
  <si>
    <t>2022-11</t>
  </si>
  <si>
    <t>International Branch</t>
  </si>
  <si>
    <t>2023-01</t>
  </si>
  <si>
    <t>Ybor City Branch</t>
  </si>
  <si>
    <t>Old Town Branch</t>
  </si>
  <si>
    <t>University Branch</t>
  </si>
  <si>
    <t>Tower Branch</t>
  </si>
  <si>
    <t>Entertainment Branch</t>
  </si>
  <si>
    <t>Old Market Branch</t>
  </si>
  <si>
    <t>Brookside Branch</t>
  </si>
  <si>
    <t>2  •  Account Analysis</t>
  </si>
  <si>
    <t>TOTAL ACCOUNTS</t>
  </si>
  <si>
    <t>ACTIVE</t>
  </si>
  <si>
    <t>AVG ACTIVE BAL</t>
  </si>
  <si>
    <t>TOTAL BALANCE</t>
  </si>
  <si>
    <t>2.1  Accounts by Status</t>
  </si>
  <si>
    <t>2.2  Total Balance by Branch</t>
  </si>
  <si>
    <t>Status</t>
  </si>
  <si>
    <t>CLOSED</t>
  </si>
  <si>
    <t>2.4  Savings vs Checking</t>
  </si>
  <si>
    <t>Type</t>
  </si>
  <si>
    <t>SAVINGS</t>
  </si>
  <si>
    <t>CHECKING</t>
  </si>
  <si>
    <t>2.5  Top 10 Customers by Balance</t>
  </si>
  <si>
    <t>Customer ID</t>
  </si>
  <si>
    <t>Customer Name</t>
  </si>
  <si>
    <t>Lucas Scott</t>
  </si>
  <si>
    <t>William Lewis</t>
  </si>
  <si>
    <t>Caleb Washington</t>
  </si>
  <si>
    <t>James Lee</t>
  </si>
  <si>
    <t>Elizabeth Evans</t>
  </si>
  <si>
    <t>Aria Bell</t>
  </si>
  <si>
    <t>Alexander Mitchell</t>
  </si>
  <si>
    <t>Noah Harris</t>
  </si>
  <si>
    <t>David Wilson</t>
  </si>
  <si>
    <t>Michael Phillips</t>
  </si>
  <si>
    <t>3  •  Transaction Analysis</t>
  </si>
  <si>
    <t>TRANSACTIONS</t>
  </si>
  <si>
    <t>TOTAL VALUE</t>
  </si>
  <si>
    <t>AVG AMOUNT</t>
  </si>
  <si>
    <t>3.1  Monthly Volume</t>
  </si>
  <si>
    <t>3.2  Deposits / Withdrawals / Transfers</t>
  </si>
  <si>
    <t># Transactions</t>
  </si>
  <si>
    <t>Total Amount</t>
  </si>
  <si>
    <t>2024-01</t>
  </si>
  <si>
    <t>DEPOSIT</t>
  </si>
  <si>
    <t>2024-02</t>
  </si>
  <si>
    <t>WITHDRAWAL</t>
  </si>
  <si>
    <t>2024-03</t>
  </si>
  <si>
    <t>TRANSFER</t>
  </si>
  <si>
    <t>2024-04</t>
  </si>
  <si>
    <t>2024-05</t>
  </si>
  <si>
    <t>3.3  Largest 10 Transactions</t>
  </si>
  <si>
    <t>2024-06</t>
  </si>
  <si>
    <t>Txn ID</t>
  </si>
  <si>
    <t>Account</t>
  </si>
  <si>
    <t>Amount</t>
  </si>
  <si>
    <t>Date</t>
  </si>
  <si>
    <t>2024-07</t>
  </si>
  <si>
    <t>2024-08</t>
  </si>
  <si>
    <t>3.4  Most Active Accounts (Top 10)</t>
  </si>
  <si>
    <t>4  •  Loan Analysis</t>
  </si>
  <si>
    <t>TOTAL LOANS</t>
  </si>
  <si>
    <t>PAID</t>
  </si>
  <si>
    <t>AVG RATE %</t>
  </si>
  <si>
    <t>4.3  Loans by Type  (count · total · avg amount · avg rate)</t>
  </si>
  <si>
    <t>4.5  Loan Amount by Branch  (via customer→branch)</t>
  </si>
  <si>
    <t>Loan Type</t>
  </si>
  <si>
    <t># Loans</t>
  </si>
  <si>
    <t>Avg Amount</t>
  </si>
  <si>
    <t>Avg Rate %</t>
  </si>
  <si>
    <t>Total Loan Amount</t>
  </si>
  <si>
    <t>HOME</t>
  </si>
  <si>
    <t>BUSINESS</t>
  </si>
  <si>
    <t>CAR</t>
  </si>
  <si>
    <t>PERSONAL</t>
  </si>
  <si>
    <t>5  •  Card Analysis</t>
  </si>
  <si>
    <t>TOTAL CARDS</t>
  </si>
  <si>
    <t>EXPIRED</t>
  </si>
  <si>
    <t>BLOCKED</t>
  </si>
  <si>
    <t>5.2  Cards by Type</t>
  </si>
  <si>
    <t>5.1 / 5.3  Cards by Status</t>
  </si>
  <si>
    <t>Card Type</t>
  </si>
  <si>
    <t># Cards</t>
  </si>
  <si>
    <t>DEBIT</t>
  </si>
  <si>
    <t>CREDIT</t>
  </si>
  <si>
    <t>6  •  Branch Performance</t>
  </si>
  <si>
    <t>6.1 customers · 6.2 employees · 6.3 accounts · 6.4 balance + rank. Ranked by total balance.</t>
  </si>
  <si>
    <t>Employees</t>
  </si>
  <si>
    <t>Rank</t>
  </si>
  <si>
    <t>Indianapolis</t>
  </si>
  <si>
    <t>Columbus</t>
  </si>
  <si>
    <t>Jacksonville</t>
  </si>
  <si>
    <t>Memphis</t>
  </si>
  <si>
    <t>Louisville</t>
  </si>
  <si>
    <t>Richmond</t>
  </si>
  <si>
    <t>Kansas City</t>
  </si>
  <si>
    <t>Salt Lake City</t>
  </si>
  <si>
    <t>Orlando</t>
  </si>
  <si>
    <t>Tampa</t>
  </si>
  <si>
    <t>Sacramento</t>
  </si>
  <si>
    <t>Albuquerque</t>
  </si>
  <si>
    <t>Tucson</t>
  </si>
  <si>
    <t>Fresno</t>
  </si>
  <si>
    <t>Oakland</t>
  </si>
  <si>
    <t>Bakersfield</t>
  </si>
  <si>
    <t>Arlington</t>
  </si>
  <si>
    <t>Wichita</t>
  </si>
  <si>
    <t>Omaha</t>
  </si>
  <si>
    <t>Cleveland</t>
  </si>
  <si>
    <t>Tulsa</t>
  </si>
  <si>
    <t>Pivot Tables  (formula-driven cross-tabs)</t>
  </si>
  <si>
    <t>Live SUMIFS/COUNTIFS matrices. Native Excel PivotTables can also be built one-click from the tbl_* tables on the raw sheets.</t>
  </si>
  <si>
    <t>Pivot 1 — Account Count by Branch × Type</t>
  </si>
  <si>
    <t>Total</t>
  </si>
  <si>
    <t>Grand Total</t>
  </si>
  <si>
    <t>Pivot 2 — Loans by Type × Status</t>
  </si>
  <si>
    <t>Total Loans</t>
  </si>
  <si>
    <t>Pivot 3 — Transaction Amount by Month × Type</t>
  </si>
  <si>
    <t>Data Quality  •  Validation Report</t>
  </si>
  <si>
    <t>Every check is a live formula. PASS/FAIL recalculates if the raw data changes.</t>
  </si>
  <si>
    <t>A.  Table Inventory &amp; Primary-Key Duplicate Check</t>
  </si>
  <si>
    <t>Table</t>
  </si>
  <si>
    <t>Primary Key</t>
  </si>
  <si>
    <t>Rows</t>
  </si>
  <si>
    <t>Distinct Keys</t>
  </si>
  <si>
    <t>Duplicate Keys</t>
  </si>
  <si>
    <t>BRANCHES</t>
  </si>
  <si>
    <t>branch_id</t>
  </si>
  <si>
    <t>CUSTOMERS</t>
  </si>
  <si>
    <t>customer_id</t>
  </si>
  <si>
    <t>ACCOUNTS</t>
  </si>
  <si>
    <t>account_id</t>
  </si>
  <si>
    <t>transaction_id</t>
  </si>
  <si>
    <t>LOANS</t>
  </si>
  <si>
    <t>loan_id</t>
  </si>
  <si>
    <t>EMPLOYEES</t>
  </si>
  <si>
    <t>employee_id</t>
  </si>
  <si>
    <t>CARDS</t>
  </si>
  <si>
    <t>card_id</t>
  </si>
  <si>
    <t>TRANSFERS</t>
  </si>
  <si>
    <t>transfer_id</t>
  </si>
  <si>
    <t>BENEFICIARIES</t>
  </si>
  <si>
    <t>beneficiary_id</t>
  </si>
  <si>
    <t>FEES</t>
  </si>
  <si>
    <t>fee_id</t>
  </si>
  <si>
    <t>LOAN_PAYMENTS</t>
  </si>
  <si>
    <t>payment_id</t>
  </si>
  <si>
    <t>STANDING_ORDERS</t>
  </si>
  <si>
    <t>order_id</t>
  </si>
  <si>
    <t>ATM_MACHINES</t>
  </si>
  <si>
    <t>atm_id</t>
  </si>
  <si>
    <t>AUDIT_LOG</t>
  </si>
  <si>
    <t>log_id</t>
  </si>
  <si>
    <t>B.  Missing-Value (NULL / blank) Checks</t>
  </si>
  <si>
    <t>Table.Column</t>
  </si>
  <si>
    <t>Blanks</t>
  </si>
  <si>
    <t>Expected Nulls?</t>
  </si>
  <si>
    <t>CUSTOMERS.email</t>
  </si>
  <si>
    <t>No</t>
  </si>
  <si>
    <t>CUSTOMERS.city</t>
  </si>
  <si>
    <t>ACCOUNTS.balance</t>
  </si>
  <si>
    <t>ACCOUNTS.status</t>
  </si>
  <si>
    <t>TRANSACTIONS.amount</t>
  </si>
  <si>
    <t>LOANS.amount</t>
  </si>
  <si>
    <t>LOANS.status</t>
  </si>
  <si>
    <t>EMPLOYEES.branch_id</t>
  </si>
  <si>
    <t>EMPLOYEES.manager_id</t>
  </si>
  <si>
    <t>Yes — branch managers have none</t>
  </si>
  <si>
    <t>REVIEW</t>
  </si>
  <si>
    <t>CARDS.status</t>
  </si>
  <si>
    <t>CARDS.credit_limit</t>
  </si>
  <si>
    <t>Yes — debit cards have none</t>
  </si>
  <si>
    <t>C.  Referential Integrity  (orphan child rows)</t>
  </si>
  <si>
    <t>Child  →  Parent</t>
  </si>
  <si>
    <t>Foreign Key</t>
  </si>
  <si>
    <t>Orphans</t>
  </si>
  <si>
    <t>ACCOUNTS → CUSTOMERS</t>
  </si>
  <si>
    <t>TRANSACTIONS → ACCOUNTS</t>
  </si>
  <si>
    <t>LOANS → CUSTOMERS</t>
  </si>
  <si>
    <t>CARDS → ACCOUNTS</t>
  </si>
  <si>
    <t>CUSTOMERS → BRANCHES</t>
  </si>
  <si>
    <t>EMPLOYEES → BRANCHES</t>
  </si>
  <si>
    <t>D.  Value-Domain Validation  (values outside allowed set)</t>
  </si>
  <si>
    <t>Column</t>
  </si>
  <si>
    <t>Allowed Values</t>
  </si>
  <si>
    <t>Violations</t>
  </si>
  <si>
    <t>ACTIVE / CLOSED</t>
  </si>
  <si>
    <t>ACCOUNTS.account_type</t>
  </si>
  <si>
    <t>SAVINGS / CHECKING</t>
  </si>
  <si>
    <t>ACTIVE / PAID</t>
  </si>
  <si>
    <t>ACTIVE / EXPIRED / BLOCKED</t>
  </si>
  <si>
    <t>CARDS.card_type</t>
  </si>
  <si>
    <t>DEBIT / CREDIT</t>
  </si>
  <si>
    <t>TRANSACTIONS.trans_type</t>
  </si>
  <si>
    <t>DEPOSIT / WITHDRAWAL / TRANSFER</t>
  </si>
  <si>
    <t>branch_name</t>
  </si>
  <si>
    <t>city</t>
  </si>
  <si>
    <t>phone</t>
  </si>
  <si>
    <t>212-000-0001</t>
  </si>
  <si>
    <t>212-000-0002</t>
  </si>
  <si>
    <t>310-000-0001</t>
  </si>
  <si>
    <t>312-000-0001</t>
  </si>
  <si>
    <t>713-000-0001</t>
  </si>
  <si>
    <t>305-000-0001</t>
  </si>
  <si>
    <t>214-000-0001</t>
  </si>
  <si>
    <t>206-000-0001</t>
  </si>
  <si>
    <t>617-000-0001</t>
  </si>
  <si>
    <t>720-000-0001</t>
  </si>
  <si>
    <t>415-000-0001</t>
  </si>
  <si>
    <t>602-000-0001</t>
  </si>
  <si>
    <t>215-000-0001</t>
  </si>
  <si>
    <t>404-000-0001</t>
  </si>
  <si>
    <t>503-000-0001</t>
  </si>
  <si>
    <t>212-000-0004</t>
  </si>
  <si>
    <t>310-000-0003</t>
  </si>
  <si>
    <t>312-000-0002</t>
  </si>
  <si>
    <t>713-000-0002</t>
  </si>
  <si>
    <t>305-000-0002</t>
  </si>
  <si>
    <t>214-000-0002</t>
  </si>
  <si>
    <t>206-000-0002</t>
  </si>
  <si>
    <t>617-000-0002</t>
  </si>
  <si>
    <t>720-000-0002</t>
  </si>
  <si>
    <t>415-000-0002</t>
  </si>
  <si>
    <t>602-000-0002</t>
  </si>
  <si>
    <t>215-000-0002</t>
  </si>
  <si>
    <t>404-000-0002</t>
  </si>
  <si>
    <t>503-000-0002</t>
  </si>
  <si>
    <t>702-000-0001</t>
  </si>
  <si>
    <t>615-000-0001</t>
  </si>
  <si>
    <t>512-000-0001</t>
  </si>
  <si>
    <t>619-000-0001</t>
  </si>
  <si>
    <t>313-000-0001</t>
  </si>
  <si>
    <t>612-000-0001</t>
  </si>
  <si>
    <t>314-000-0001</t>
  </si>
  <si>
    <t>410-000-0001</t>
  </si>
  <si>
    <t>919-000-0001</t>
  </si>
  <si>
    <t>704-000-0001</t>
  </si>
  <si>
    <t>317-000-0001</t>
  </si>
  <si>
    <t>614-000-0001</t>
  </si>
  <si>
    <t>904-000-0001</t>
  </si>
  <si>
    <t>901-000-0001</t>
  </si>
  <si>
    <t>502-000-0001</t>
  </si>
  <si>
    <t>804-000-0001</t>
  </si>
  <si>
    <t>816-000-0001</t>
  </si>
  <si>
    <t>801-000-0001</t>
  </si>
  <si>
    <t>407-000-0001</t>
  </si>
  <si>
    <t>813-000-0001</t>
  </si>
  <si>
    <t>916-000-0001</t>
  </si>
  <si>
    <t>505-000-0001</t>
  </si>
  <si>
    <t>520-000-0001</t>
  </si>
  <si>
    <t>559-000-0001</t>
  </si>
  <si>
    <t>510-000-0001</t>
  </si>
  <si>
    <t>661-000-0001</t>
  </si>
  <si>
    <t>817-000-0001</t>
  </si>
  <si>
    <t>316-000-0001</t>
  </si>
  <si>
    <t>402-000-0001</t>
  </si>
  <si>
    <t>216-000-0001</t>
  </si>
  <si>
    <t>918-000-0001</t>
  </si>
  <si>
    <t>first_name</t>
  </si>
  <si>
    <t>last_name</t>
  </si>
  <si>
    <t>email</t>
  </si>
  <si>
    <t>join_date</t>
  </si>
  <si>
    <t>Alice</t>
  </si>
  <si>
    <t>Johnson</t>
  </si>
  <si>
    <t>alice@email.com</t>
  </si>
  <si>
    <t>555-1001</t>
  </si>
  <si>
    <t>Bob</t>
  </si>
  <si>
    <t>Smith</t>
  </si>
  <si>
    <t>bob@email.com</t>
  </si>
  <si>
    <t>555-1002</t>
  </si>
  <si>
    <t>Carol</t>
  </si>
  <si>
    <t>Davis</t>
  </si>
  <si>
    <t>carol@email.com</t>
  </si>
  <si>
    <t>555-1003</t>
  </si>
  <si>
    <t>David</t>
  </si>
  <si>
    <t>Wilson</t>
  </si>
  <si>
    <t>david@email.com</t>
  </si>
  <si>
    <t>555-1004</t>
  </si>
  <si>
    <t>Emma</t>
  </si>
  <si>
    <t>Brown</t>
  </si>
  <si>
    <t>emma@email.com</t>
  </si>
  <si>
    <t>555-1005</t>
  </si>
  <si>
    <t>Frank</t>
  </si>
  <si>
    <t>Taylor</t>
  </si>
  <si>
    <t>frank@email.com</t>
  </si>
  <si>
    <t>555-1006</t>
  </si>
  <si>
    <t>Grace</t>
  </si>
  <si>
    <t>Anderson</t>
  </si>
  <si>
    <t>grace@email.com</t>
  </si>
  <si>
    <t>555-1007</t>
  </si>
  <si>
    <t>Henry</t>
  </si>
  <si>
    <t>Martinez</t>
  </si>
  <si>
    <t>henry@email.com</t>
  </si>
  <si>
    <t>555-1008</t>
  </si>
  <si>
    <t>Irene</t>
  </si>
  <si>
    <t>Garcia</t>
  </si>
  <si>
    <t>irene@email.com</t>
  </si>
  <si>
    <t>555-1009</t>
  </si>
  <si>
    <t>James</t>
  </si>
  <si>
    <t>Lee</t>
  </si>
  <si>
    <t>james@email.com</t>
  </si>
  <si>
    <t>555-1010</t>
  </si>
  <si>
    <t>Liam</t>
  </si>
  <si>
    <t>Thompson</t>
  </si>
  <si>
    <t>liam@email.com</t>
  </si>
  <si>
    <t>555-2001</t>
  </si>
  <si>
    <t>Sophia</t>
  </si>
  <si>
    <t>Walker</t>
  </si>
  <si>
    <t>sophia@email.com</t>
  </si>
  <si>
    <t>555-2002</t>
  </si>
  <si>
    <t>Noah</t>
  </si>
  <si>
    <t>Harris</t>
  </si>
  <si>
    <t>noah@email.com</t>
  </si>
  <si>
    <t>555-2003</t>
  </si>
  <si>
    <t>Olivia</t>
  </si>
  <si>
    <t>Clark</t>
  </si>
  <si>
    <t>olivia@email.com</t>
  </si>
  <si>
    <t>555-2004</t>
  </si>
  <si>
    <t>William</t>
  </si>
  <si>
    <t>Lewis</t>
  </si>
  <si>
    <t>william@email.com</t>
  </si>
  <si>
    <t>555-2005</t>
  </si>
  <si>
    <t>Robinson</t>
  </si>
  <si>
    <t>emma2@email.com</t>
  </si>
  <si>
    <t>555-2006</t>
  </si>
  <si>
    <t>Young</t>
  </si>
  <si>
    <t>jyoung@email.com</t>
  </si>
  <si>
    <t>555-2007</t>
  </si>
  <si>
    <t>Ava</t>
  </si>
  <si>
    <t>Allen</t>
  </si>
  <si>
    <t>ava@email.com</t>
  </si>
  <si>
    <t>555-2008</t>
  </si>
  <si>
    <t>Benjamin</t>
  </si>
  <si>
    <t>King</t>
  </si>
  <si>
    <t>ben@email.com</t>
  </si>
  <si>
    <t>555-2009</t>
  </si>
  <si>
    <t>Mia</t>
  </si>
  <si>
    <t>Wright</t>
  </si>
  <si>
    <t>mia@email.com</t>
  </si>
  <si>
    <t>555-2010</t>
  </si>
  <si>
    <t>Lucas</t>
  </si>
  <si>
    <t>Scott</t>
  </si>
  <si>
    <t>lucas@email.com</t>
  </si>
  <si>
    <t>555-2011</t>
  </si>
  <si>
    <t>Green</t>
  </si>
  <si>
    <t>charlotte@email.com</t>
  </si>
  <si>
    <t>555-2012</t>
  </si>
  <si>
    <t>Mason</t>
  </si>
  <si>
    <t>Baker</t>
  </si>
  <si>
    <t>mason@email.com</t>
  </si>
  <si>
    <t>555-2013</t>
  </si>
  <si>
    <t>Amelia</t>
  </si>
  <si>
    <t>Adams</t>
  </si>
  <si>
    <t>amelia@email.com</t>
  </si>
  <si>
    <t>555-2014</t>
  </si>
  <si>
    <t>Ethan</t>
  </si>
  <si>
    <t>Nelson</t>
  </si>
  <si>
    <t>ethan@email.com</t>
  </si>
  <si>
    <t>555-2015</t>
  </si>
  <si>
    <t>Harper</t>
  </si>
  <si>
    <t>Carter</t>
  </si>
  <si>
    <t>harper@email.com</t>
  </si>
  <si>
    <t>555-2016</t>
  </si>
  <si>
    <t>Alexander</t>
  </si>
  <si>
    <t>Mitchell</t>
  </si>
  <si>
    <t>alex@email.com</t>
  </si>
  <si>
    <t>555-2017</t>
  </si>
  <si>
    <t>Evelyn</t>
  </si>
  <si>
    <t>Perez</t>
  </si>
  <si>
    <t>evelyn@email.com</t>
  </si>
  <si>
    <t>555-2018</t>
  </si>
  <si>
    <t>Daniel</t>
  </si>
  <si>
    <t>Roberts</t>
  </si>
  <si>
    <t>daniel@email.com</t>
  </si>
  <si>
    <t>555-2019</t>
  </si>
  <si>
    <t>Abigail</t>
  </si>
  <si>
    <t>Turner</t>
  </si>
  <si>
    <t>abigail@email.com</t>
  </si>
  <si>
    <t>555-2020</t>
  </si>
  <si>
    <t>Michael</t>
  </si>
  <si>
    <t>Phillips</t>
  </si>
  <si>
    <t>michael@email.com</t>
  </si>
  <si>
    <t>555-2021</t>
  </si>
  <si>
    <t>Emily</t>
  </si>
  <si>
    <t>Campbell</t>
  </si>
  <si>
    <t>emily@email.com</t>
  </si>
  <si>
    <t>555-2022</t>
  </si>
  <si>
    <t>Matthew</t>
  </si>
  <si>
    <t>Parker</t>
  </si>
  <si>
    <t>matthew@email.com</t>
  </si>
  <si>
    <t>555-2023</t>
  </si>
  <si>
    <t>Elizabeth</t>
  </si>
  <si>
    <t>Evans</t>
  </si>
  <si>
    <t>elizabeth@email.com</t>
  </si>
  <si>
    <t>555-2024</t>
  </si>
  <si>
    <t>Joseph</t>
  </si>
  <si>
    <t>Edwards</t>
  </si>
  <si>
    <t>joseph@email.com</t>
  </si>
  <si>
    <t>555-2025</t>
  </si>
  <si>
    <t>Sofia</t>
  </si>
  <si>
    <t>Collins</t>
  </si>
  <si>
    <t>sofia@email.com</t>
  </si>
  <si>
    <t>555-2026</t>
  </si>
  <si>
    <t>Stewart</t>
  </si>
  <si>
    <t>dstewart@email.com</t>
  </si>
  <si>
    <t>555-2027</t>
  </si>
  <si>
    <t>Victoria</t>
  </si>
  <si>
    <t>Sanchez</t>
  </si>
  <si>
    <t>victoria@email.com</t>
  </si>
  <si>
    <t>555-2028</t>
  </si>
  <si>
    <t>Andrew</t>
  </si>
  <si>
    <t>Morris</t>
  </si>
  <si>
    <t>andrew@email.com</t>
  </si>
  <si>
    <t>555-2029</t>
  </si>
  <si>
    <t>Rogers</t>
  </si>
  <si>
    <t>grogers@email.com</t>
  </si>
  <si>
    <t>555-2030</t>
  </si>
  <si>
    <t>Joshua</t>
  </si>
  <si>
    <t>Reed</t>
  </si>
  <si>
    <t>joshua@email.com</t>
  </si>
  <si>
    <t>555-2031</t>
  </si>
  <si>
    <t>Scarlett</t>
  </si>
  <si>
    <t>Cook</t>
  </si>
  <si>
    <t>scarlett@email.com</t>
  </si>
  <si>
    <t>555-2032</t>
  </si>
  <si>
    <t>Ryan</t>
  </si>
  <si>
    <t>Morgan</t>
  </si>
  <si>
    <t>ryan@email.com</t>
  </si>
  <si>
    <t>555-2033</t>
  </si>
  <si>
    <t>Aria</t>
  </si>
  <si>
    <t>Bell</t>
  </si>
  <si>
    <t>aria@email.com</t>
  </si>
  <si>
    <t>555-2034</t>
  </si>
  <si>
    <t>Nathan</t>
  </si>
  <si>
    <t>Murphy</t>
  </si>
  <si>
    <t>nathan@email.com</t>
  </si>
  <si>
    <t>555-2035</t>
  </si>
  <si>
    <t>Penelope</t>
  </si>
  <si>
    <t>Bailey</t>
  </si>
  <si>
    <t>penelope@email.com</t>
  </si>
  <si>
    <t>555-2036</t>
  </si>
  <si>
    <t>Aaron</t>
  </si>
  <si>
    <t>Rivera</t>
  </si>
  <si>
    <t>aaron@email.com</t>
  </si>
  <si>
    <t>555-2037</t>
  </si>
  <si>
    <t>Layla</t>
  </si>
  <si>
    <t>Cooper</t>
  </si>
  <si>
    <t>layla@email.com</t>
  </si>
  <si>
    <t>555-2038</t>
  </si>
  <si>
    <t>Dylan</t>
  </si>
  <si>
    <t>Richardson</t>
  </si>
  <si>
    <t>dylan@email.com</t>
  </si>
  <si>
    <t>555-2039</t>
  </si>
  <si>
    <t>Zoe</t>
  </si>
  <si>
    <t>Cox</t>
  </si>
  <si>
    <t>zoe@email.com</t>
  </si>
  <si>
    <t>555-2040</t>
  </si>
  <si>
    <t>Tyler</t>
  </si>
  <si>
    <t>Bennett</t>
  </si>
  <si>
    <t>tyler@email.com</t>
  </si>
  <si>
    <t>555-3001</t>
  </si>
  <si>
    <t>Madison</t>
  </si>
  <si>
    <t>Flores</t>
  </si>
  <si>
    <t>madison@email.com</t>
  </si>
  <si>
    <t>555-3002</t>
  </si>
  <si>
    <t>Caleb</t>
  </si>
  <si>
    <t>Washington</t>
  </si>
  <si>
    <t>caleb@email.com</t>
  </si>
  <si>
    <t>555-3003</t>
  </si>
  <si>
    <t>Natalie</t>
  </si>
  <si>
    <t>Butler</t>
  </si>
  <si>
    <t>natalie@email.com</t>
  </si>
  <si>
    <t>555-3004</t>
  </si>
  <si>
    <t>Logan</t>
  </si>
  <si>
    <t>Simmons</t>
  </si>
  <si>
    <t>logan@email.com</t>
  </si>
  <si>
    <t>555-3005</t>
  </si>
  <si>
    <t>Chloe</t>
  </si>
  <si>
    <t>Foster</t>
  </si>
  <si>
    <t>chloe@email.com</t>
  </si>
  <si>
    <t>555-3006</t>
  </si>
  <si>
    <t>Hunter</t>
  </si>
  <si>
    <t>Gonzalez</t>
  </si>
  <si>
    <t>hunter@email.com</t>
  </si>
  <si>
    <t>555-3007</t>
  </si>
  <si>
    <t>Stella</t>
  </si>
  <si>
    <t>Bryant</t>
  </si>
  <si>
    <t>stella@email.com</t>
  </si>
  <si>
    <t>555-3008</t>
  </si>
  <si>
    <t>Connor</t>
  </si>
  <si>
    <t>connor@email.com</t>
  </si>
  <si>
    <t>555-3009</t>
  </si>
  <si>
    <t>Nora</t>
  </si>
  <si>
    <t>Russell</t>
  </si>
  <si>
    <t>nora@email.com</t>
  </si>
  <si>
    <t>555-3010</t>
  </si>
  <si>
    <t>account_type</t>
  </si>
  <si>
    <t>balance</t>
  </si>
  <si>
    <t>open_date</t>
  </si>
  <si>
    <t>status</t>
  </si>
  <si>
    <t>trans_type</t>
  </si>
  <si>
    <t>amount</t>
  </si>
  <si>
    <t>trans_date</t>
  </si>
  <si>
    <t>description</t>
  </si>
  <si>
    <t>Salary deposit</t>
  </si>
  <si>
    <t>Rent payment</t>
  </si>
  <si>
    <t>Freelance payment</t>
  </si>
  <si>
    <t>Grocery shopping</t>
  </si>
  <si>
    <t>Utility bill</t>
  </si>
  <si>
    <t>Business revenue</t>
  </si>
  <si>
    <t>ATM withdrawal</t>
  </si>
  <si>
    <t>Transfer to savings</t>
  </si>
  <si>
    <t>Investment return</t>
  </si>
  <si>
    <t>Home renovation</t>
  </si>
  <si>
    <t>Bonus</t>
  </si>
  <si>
    <t>Car payment</t>
  </si>
  <si>
    <t>Transfer to checking</t>
  </si>
  <si>
    <t>Tax payment</t>
  </si>
  <si>
    <t>Equipment purchase</t>
  </si>
  <si>
    <t>loan_type</t>
  </si>
  <si>
    <t>interest_rate</t>
  </si>
  <si>
    <t>start_date</t>
  </si>
  <si>
    <t>end_date</t>
  </si>
  <si>
    <t>job_title</t>
  </si>
  <si>
    <t>salary</t>
  </si>
  <si>
    <t>hire_date</t>
  </si>
  <si>
    <t>manager_id</t>
  </si>
  <si>
    <t>Sarah</t>
  </si>
  <si>
    <t>Branch Manager</t>
  </si>
  <si>
    <t>Tom</t>
  </si>
  <si>
    <t>Linda</t>
  </si>
  <si>
    <t>White</t>
  </si>
  <si>
    <t>Mark</t>
  </si>
  <si>
    <t>Nancy</t>
  </si>
  <si>
    <t>Paul</t>
  </si>
  <si>
    <t>Loan Officer</t>
  </si>
  <si>
    <t>Quinn</t>
  </si>
  <si>
    <t>Teller</t>
  </si>
  <si>
    <t>Rachel</t>
  </si>
  <si>
    <t>Steve</t>
  </si>
  <si>
    <t>Tina</t>
  </si>
  <si>
    <t>Uma</t>
  </si>
  <si>
    <t>Victor</t>
  </si>
  <si>
    <t>Hughes</t>
  </si>
  <si>
    <t>Wendy</t>
  </si>
  <si>
    <t>Xavier</t>
  </si>
  <si>
    <t>Price</t>
  </si>
  <si>
    <t>Yvonne</t>
  </si>
  <si>
    <t>Diaz</t>
  </si>
  <si>
    <t>Zach</t>
  </si>
  <si>
    <t>Amy</t>
  </si>
  <si>
    <t>Griffin</t>
  </si>
  <si>
    <t>Brian</t>
  </si>
  <si>
    <t>Hayes</t>
  </si>
  <si>
    <t>Cathy</t>
  </si>
  <si>
    <t>Myers</t>
  </si>
  <si>
    <t>Derek</t>
  </si>
  <si>
    <t>Ford</t>
  </si>
  <si>
    <t>Ellen</t>
  </si>
  <si>
    <t>Hamilton</t>
  </si>
  <si>
    <t>Fred</t>
  </si>
  <si>
    <t>Graham</t>
  </si>
  <si>
    <t>Gina</t>
  </si>
  <si>
    <t>Sullivan</t>
  </si>
  <si>
    <t>Harry</t>
  </si>
  <si>
    <t>Wallace</t>
  </si>
  <si>
    <t>Iris</t>
  </si>
  <si>
    <t>Woods</t>
  </si>
  <si>
    <t>Kevin</t>
  </si>
  <si>
    <t>Brooks</t>
  </si>
  <si>
    <t>Laura</t>
  </si>
  <si>
    <t>Jenkins</t>
  </si>
  <si>
    <t>Marcus</t>
  </si>
  <si>
    <t>Perry</t>
  </si>
  <si>
    <t>Nina</t>
  </si>
  <si>
    <t>Oscar</t>
  </si>
  <si>
    <t>Patricia</t>
  </si>
  <si>
    <t>Quincy</t>
  </si>
  <si>
    <t>Rebecca</t>
  </si>
  <si>
    <t>Ward</t>
  </si>
  <si>
    <t>Samuel</t>
  </si>
  <si>
    <t>Torres</t>
  </si>
  <si>
    <t>Teresa</t>
  </si>
  <si>
    <t>Nguyen</t>
  </si>
  <si>
    <t>Ulrich</t>
  </si>
  <si>
    <t>Ross</t>
  </si>
  <si>
    <t>Vera</t>
  </si>
  <si>
    <t>Morales</t>
  </si>
  <si>
    <t>Walter</t>
  </si>
  <si>
    <t>Kim</t>
  </si>
  <si>
    <t>Xena</t>
  </si>
  <si>
    <t>Chavez</t>
  </si>
  <si>
    <t>Yale</t>
  </si>
  <si>
    <t>Zara</t>
  </si>
  <si>
    <t>Adam</t>
  </si>
  <si>
    <t>Bella</t>
  </si>
  <si>
    <t>Reyes</t>
  </si>
  <si>
    <t>Carlos</t>
  </si>
  <si>
    <t>Gray</t>
  </si>
  <si>
    <t>Diana</t>
  </si>
  <si>
    <t>Evan</t>
  </si>
  <si>
    <t>Watson</t>
  </si>
  <si>
    <t>Fiona</t>
  </si>
  <si>
    <t>George</t>
  </si>
  <si>
    <t>Kelly</t>
  </si>
  <si>
    <t>Helen</t>
  </si>
  <si>
    <t>Sanders</t>
  </si>
  <si>
    <t>Ivan</t>
  </si>
  <si>
    <t>Julia</t>
  </si>
  <si>
    <t>Karl</t>
  </si>
  <si>
    <t>Wood</t>
  </si>
  <si>
    <t>Lisa</t>
  </si>
  <si>
    <t>Barnes</t>
  </si>
  <si>
    <t>Mike</t>
  </si>
  <si>
    <t>Nicole</t>
  </si>
  <si>
    <t>Oliver</t>
  </si>
  <si>
    <t>Fisher</t>
  </si>
  <si>
    <t>Paula</t>
  </si>
  <si>
    <t>Stone</t>
  </si>
  <si>
    <t>Quentin</t>
  </si>
  <si>
    <t>Holt</t>
  </si>
  <si>
    <t>Rosa</t>
  </si>
  <si>
    <t>Burke</t>
  </si>
  <si>
    <t>Simon</t>
  </si>
  <si>
    <t>card_type</t>
  </si>
  <si>
    <t>card_number</t>
  </si>
  <si>
    <t>expiry_date</t>
  </si>
  <si>
    <t>credit_limit</t>
  </si>
  <si>
    <t>issued_date</t>
  </si>
  <si>
    <t>XXXX-XXXX-XXXX-1001</t>
  </si>
  <si>
    <t>XXXX-XXXX-XXXX-1002</t>
  </si>
  <si>
    <t>XXXX-XXXX-XXXX-1003</t>
  </si>
  <si>
    <t>XXXX-XXXX-XXXX-1004</t>
  </si>
  <si>
    <t>XXXX-XXXX-XXXX-1005</t>
  </si>
  <si>
    <t>XXXX-XXXX-XXXX-1006</t>
  </si>
  <si>
    <t>XXXX-XXXX-XXXX-1007</t>
  </si>
  <si>
    <t>XXXX-XXXX-XXXX-1008</t>
  </si>
  <si>
    <t>XXXX-XXXX-XXXX-1009</t>
  </si>
  <si>
    <t>XXXX-XXXX-XXXX-1010</t>
  </si>
  <si>
    <t>XXXX-XXXX-XXXX-1011</t>
  </si>
  <si>
    <t>XXXX-XXXX-XXXX-1012</t>
  </si>
  <si>
    <t>XXXX-XXXX-XXXX-1013</t>
  </si>
  <si>
    <t>XXXX-XXXX-XXXX-1014</t>
  </si>
  <si>
    <t>XXXX-XXXX-XXXX-1015</t>
  </si>
  <si>
    <t>XXXX-XXXX-XXXX-1016</t>
  </si>
  <si>
    <t>XXXX-XXXX-XXXX-1017</t>
  </si>
  <si>
    <t>XXXX-XXXX-XXXX-1018</t>
  </si>
  <si>
    <t>XXXX-XXXX-XXXX-1019</t>
  </si>
  <si>
    <t>XXXX-XXXX-XXXX-1020</t>
  </si>
  <si>
    <t>XXXX-XXXX-XXXX-1021</t>
  </si>
  <si>
    <t>XXXX-XXXX-XXXX-1022</t>
  </si>
  <si>
    <t>XXXX-XXXX-XXXX-1023</t>
  </si>
  <si>
    <t>XXXX-XXXX-XXXX-1024</t>
  </si>
  <si>
    <t>XXXX-XXXX-XXXX-1025</t>
  </si>
  <si>
    <t>XXXX-XXXX-XXXX-1026</t>
  </si>
  <si>
    <t>XXXX-XXXX-XXXX-1027</t>
  </si>
  <si>
    <t>XXXX-XXXX-XXXX-1028</t>
  </si>
  <si>
    <t>XXXX-XXXX-XXXX-1029</t>
  </si>
  <si>
    <t>XXXX-XXXX-XXXX-1030</t>
  </si>
  <si>
    <t>XXXX-XXXX-XXXX-1031</t>
  </si>
  <si>
    <t>XXXX-XXXX-XXXX-1032</t>
  </si>
  <si>
    <t>XXXX-XXXX-XXXX-1033</t>
  </si>
  <si>
    <t>XXXX-XXXX-XXXX-1034</t>
  </si>
  <si>
    <t>XXXX-XXXX-XXXX-1035</t>
  </si>
  <si>
    <t>XXXX-XXXX-XXXX-1036</t>
  </si>
  <si>
    <t>XXXX-XXXX-XXXX-1037</t>
  </si>
  <si>
    <t>XXXX-XXXX-XXXX-1038</t>
  </si>
  <si>
    <t>XXXX-XXXX-XXXX-1039</t>
  </si>
  <si>
    <t>XXXX-XXXX-XXXX-1040</t>
  </si>
  <si>
    <t>XXXX-XXXX-XXXX-1041</t>
  </si>
  <si>
    <t>XXXX-XXXX-XXXX-1042</t>
  </si>
  <si>
    <t>XXXX-XXXX-XXXX-1043</t>
  </si>
  <si>
    <t>XXXX-XXXX-XXXX-1044</t>
  </si>
  <si>
    <t>XXXX-XXXX-XXXX-1045</t>
  </si>
  <si>
    <t>XXXX-XXXX-XXXX-1046</t>
  </si>
  <si>
    <t>XXXX-XXXX-XXXX-1047</t>
  </si>
  <si>
    <t>XXXX-XXXX-XXXX-1048</t>
  </si>
  <si>
    <t>XXXX-XXXX-XXXX-1049</t>
  </si>
  <si>
    <t>XXXX-XXXX-XXXX-1050</t>
  </si>
  <si>
    <t>XXXX-XXXX-XXXX-1051</t>
  </si>
  <si>
    <t>XXXX-XXXX-XXXX-1052</t>
  </si>
  <si>
    <t>XXXX-XXXX-XXXX-1053</t>
  </si>
  <si>
    <t>XXXX-XXXX-XXXX-1054</t>
  </si>
  <si>
    <t>XXXX-XXXX-XXXX-1055</t>
  </si>
  <si>
    <t>XXXX-XXXX-XXXX-1056</t>
  </si>
  <si>
    <t>XXXX-XXXX-XXXX-1057</t>
  </si>
  <si>
    <t>XXXX-XXXX-XXXX-1058</t>
  </si>
  <si>
    <t>XXXX-XXXX-XXXX-1059</t>
  </si>
  <si>
    <t>XXXX-XXXX-XXXX-1060</t>
  </si>
  <si>
    <t>from_account_id</t>
  </si>
  <si>
    <t>to_account_id</t>
  </si>
  <si>
    <t>transfer_date</t>
  </si>
  <si>
    <t>Self transfer</t>
  </si>
  <si>
    <t>COMPLETED</t>
  </si>
  <si>
    <t>Loan repayment transfer</t>
  </si>
  <si>
    <t>Business payment</t>
  </si>
  <si>
    <t>Friend payment</t>
  </si>
  <si>
    <t>Investment split</t>
  </si>
  <si>
    <t>Rent assistance</t>
  </si>
  <si>
    <t>Shared investment</t>
  </si>
  <si>
    <t>Business deal</t>
  </si>
  <si>
    <t>Loan payment</t>
  </si>
  <si>
    <t>Investment</t>
  </si>
  <si>
    <t>PENDING</t>
  </si>
  <si>
    <t>Gift</t>
  </si>
  <si>
    <t>Shared expense</t>
  </si>
  <si>
    <t>Business split</t>
  </si>
  <si>
    <t>FAILED</t>
  </si>
  <si>
    <t>Business to checking</t>
  </si>
  <si>
    <t>Business investment</t>
  </si>
  <si>
    <t>Partner payment</t>
  </si>
  <si>
    <t>Large transfer</t>
  </si>
  <si>
    <t>Salary advance</t>
  </si>
  <si>
    <t>Friend transfer</t>
  </si>
  <si>
    <t>Birthday gift</t>
  </si>
  <si>
    <t>Loan repayment</t>
  </si>
  <si>
    <t>Business</t>
  </si>
  <si>
    <t>Partner share</t>
  </si>
  <si>
    <t>Shared cost</t>
  </si>
  <si>
    <t>Shared account</t>
  </si>
  <si>
    <t>Expense share</t>
  </si>
  <si>
    <t>Loan help</t>
  </si>
  <si>
    <t>Friend gift</t>
  </si>
  <si>
    <t>Self help</t>
  </si>
  <si>
    <t>Friend</t>
  </si>
  <si>
    <t>Investment deal</t>
  </si>
  <si>
    <t>beneficiary_name</t>
  </si>
  <si>
    <t>account_number</t>
  </si>
  <si>
    <t>bank_name</t>
  </si>
  <si>
    <t>nickname</t>
  </si>
  <si>
    <t>created_date</t>
  </si>
  <si>
    <t>Bob Smith</t>
  </si>
  <si>
    <t>ACC-103</t>
  </si>
  <si>
    <t>Same Bank</t>
  </si>
  <si>
    <t>Electric Company</t>
  </si>
  <si>
    <t>EXT-88001</t>
  </si>
  <si>
    <t>City Bank</t>
  </si>
  <si>
    <t>Electric</t>
  </si>
  <si>
    <t>Alice Johnson</t>
  </si>
  <si>
    <t>ACC-101</t>
  </si>
  <si>
    <t>Landlord</t>
  </si>
  <si>
    <t>EXT-77002</t>
  </si>
  <si>
    <t>National Bank</t>
  </si>
  <si>
    <t>Rent</t>
  </si>
  <si>
    <t>Business Partner</t>
  </si>
  <si>
    <t>EXT-55003</t>
  </si>
  <si>
    <t>Commerce Bank</t>
  </si>
  <si>
    <t>Partner</t>
  </si>
  <si>
    <t>Tax Authority</t>
  </si>
  <si>
    <t>EXT-99004</t>
  </si>
  <si>
    <t>Gov Bank</t>
  </si>
  <si>
    <t>Taxes</t>
  </si>
  <si>
    <t>James Partner</t>
  </si>
  <si>
    <t>EXT-44005</t>
  </si>
  <si>
    <t>Trade Bank</t>
  </si>
  <si>
    <t>Investment Firm</t>
  </si>
  <si>
    <t>EXT-33006</t>
  </si>
  <si>
    <t>Invest Bank</t>
  </si>
  <si>
    <t>Invest</t>
  </si>
  <si>
    <t>Mortgage Co</t>
  </si>
  <si>
    <t>EXT-22007</t>
  </si>
  <si>
    <t>Mortgage Bank</t>
  </si>
  <si>
    <t>Mortgage</t>
  </si>
  <si>
    <t>Business Account</t>
  </si>
  <si>
    <t>EXT-11008</t>
  </si>
  <si>
    <t>Global Bank</t>
  </si>
  <si>
    <t>Supplier A</t>
  </si>
  <si>
    <t>EXT-11009</t>
  </si>
  <si>
    <t>Supplier</t>
  </si>
  <si>
    <t>Business Rent</t>
  </si>
  <si>
    <t>EXT-66010</t>
  </si>
  <si>
    <t>Property Bank</t>
  </si>
  <si>
    <t>Office</t>
  </si>
  <si>
    <t>Investment Co</t>
  </si>
  <si>
    <t>EXT-77011</t>
  </si>
  <si>
    <t>Insurance Co</t>
  </si>
  <si>
    <t>EXT-88012</t>
  </si>
  <si>
    <t>Security Bank</t>
  </si>
  <si>
    <t>Insurance</t>
  </si>
  <si>
    <t>EXT-99013</t>
  </si>
  <si>
    <t>Gym Membership</t>
  </si>
  <si>
    <t>EXT-44014</t>
  </si>
  <si>
    <t>Fitness Bank</t>
  </si>
  <si>
    <t>Gym</t>
  </si>
  <si>
    <t>Car Finance</t>
  </si>
  <si>
    <t>EXT-55015</t>
  </si>
  <si>
    <t>Auto Bank</t>
  </si>
  <si>
    <t>Car</t>
  </si>
  <si>
    <t>Utility Co</t>
  </si>
  <si>
    <t>EXT-66016</t>
  </si>
  <si>
    <t>Utilities</t>
  </si>
  <si>
    <t>Phone Company</t>
  </si>
  <si>
    <t>EXT-77017</t>
  </si>
  <si>
    <t>Telecom Bank</t>
  </si>
  <si>
    <t>Phone</t>
  </si>
  <si>
    <t>EXT-88018</t>
  </si>
  <si>
    <t>Business Partner B</t>
  </si>
  <si>
    <t>EXT-11101</t>
  </si>
  <si>
    <t>Partner B</t>
  </si>
  <si>
    <t>Investment Fund A</t>
  </si>
  <si>
    <t>EXT-22102</t>
  </si>
  <si>
    <t>Fund A</t>
  </si>
  <si>
    <t>EXT-33103</t>
  </si>
  <si>
    <t>Client A</t>
  </si>
  <si>
    <t>EXT-44104</t>
  </si>
  <si>
    <t>Client</t>
  </si>
  <si>
    <t>Supplier B</t>
  </si>
  <si>
    <t>EXT-55105</t>
  </si>
  <si>
    <t>Supply Bank</t>
  </si>
  <si>
    <t>EXT-66106</t>
  </si>
  <si>
    <t>EXT-77107</t>
  </si>
  <si>
    <t>EXT-88108</t>
  </si>
  <si>
    <t>EXT-99109</t>
  </si>
  <si>
    <t>Car Loan</t>
  </si>
  <si>
    <t>Tax Office</t>
  </si>
  <si>
    <t>EXT-11110</t>
  </si>
  <si>
    <t>Business Supplier</t>
  </si>
  <si>
    <t>EXT-22111</t>
  </si>
  <si>
    <t>EXT-33112</t>
  </si>
  <si>
    <t>EXT-44113</t>
  </si>
  <si>
    <t>EXT-55114</t>
  </si>
  <si>
    <t>EXT-66115</t>
  </si>
  <si>
    <t>EXT-77116</t>
  </si>
  <si>
    <t>Biz Partner</t>
  </si>
  <si>
    <t>EXT-88117</t>
  </si>
  <si>
    <t>EXT-99118</t>
  </si>
  <si>
    <t>EXT-11119</t>
  </si>
  <si>
    <t>EXT-22120</t>
  </si>
  <si>
    <t>EXT-33121</t>
  </si>
  <si>
    <t>Supplier C</t>
  </si>
  <si>
    <t>EXT-44122</t>
  </si>
  <si>
    <t>EXT-55123</t>
  </si>
  <si>
    <t>EXT-66124</t>
  </si>
  <si>
    <t>EXT-77125</t>
  </si>
  <si>
    <t>EXT-88126</t>
  </si>
  <si>
    <t>EXT-99127</t>
  </si>
  <si>
    <t>EXT-11128</t>
  </si>
  <si>
    <t>EXT-22129</t>
  </si>
  <si>
    <t>Carol Davis</t>
  </si>
  <si>
    <t>ACC-104</t>
  </si>
  <si>
    <t>ACC-105</t>
  </si>
  <si>
    <t>ACC-111</t>
  </si>
  <si>
    <t>Frank Taylor</t>
  </si>
  <si>
    <t>ACC-107</t>
  </si>
  <si>
    <t>Liam Thompson</t>
  </si>
  <si>
    <t>ACC-114</t>
  </si>
  <si>
    <t>ACC-120</t>
  </si>
  <si>
    <t>ACC-129</t>
  </si>
  <si>
    <t>ACC-138</t>
  </si>
  <si>
    <t>Alex</t>
  </si>
  <si>
    <t>ACC-148</t>
  </si>
  <si>
    <t>fee_type</t>
  </si>
  <si>
    <t>fee_date</t>
  </si>
  <si>
    <t>MAINTENANCE</t>
  </si>
  <si>
    <t>Monthly maintenance fee</t>
  </si>
  <si>
    <t>WAIVED</t>
  </si>
  <si>
    <t>OVERDRAFT</t>
  </si>
  <si>
    <t>Overdraft fee</t>
  </si>
  <si>
    <t>ATM</t>
  </si>
  <si>
    <t>Out-of-network ATM fee</t>
  </si>
  <si>
    <t>Wire transfer fee</t>
  </si>
  <si>
    <t>Monthly fee - waived</t>
  </si>
  <si>
    <t>LATE_PAYMENT</t>
  </si>
  <si>
    <t>Late loan payment fee</t>
  </si>
  <si>
    <t>Monthly fee - waived (premium)</t>
  </si>
  <si>
    <t>Late payment fee</t>
  </si>
  <si>
    <t>payment_date</t>
  </si>
  <si>
    <t>principal_paid</t>
  </si>
  <si>
    <t>interest_paid</t>
  </si>
  <si>
    <t>remaining_balance</t>
  </si>
  <si>
    <t>MISSED</t>
  </si>
  <si>
    <t>frequency</t>
  </si>
  <si>
    <t>next_execution_date</t>
  </si>
  <si>
    <t>MONTHLY</t>
  </si>
  <si>
    <t>Monthly rent</t>
  </si>
  <si>
    <t>Electric bill</t>
  </si>
  <si>
    <t>Savings transfer</t>
  </si>
  <si>
    <t>Mortgage payment</t>
  </si>
  <si>
    <t>Business expenses</t>
  </si>
  <si>
    <t>Investment fund</t>
  </si>
  <si>
    <t>Office rent</t>
  </si>
  <si>
    <t>Insurance premium</t>
  </si>
  <si>
    <t>Gym membership</t>
  </si>
  <si>
    <t>PAUSED</t>
  </si>
  <si>
    <t>Car finance</t>
  </si>
  <si>
    <t>Phone bill</t>
  </si>
  <si>
    <t>CANCELLED</t>
  </si>
  <si>
    <t>Old standing order</t>
  </si>
  <si>
    <t>Investment contribution</t>
  </si>
  <si>
    <t>Savings boost</t>
  </si>
  <si>
    <t>Client payment</t>
  </si>
  <si>
    <t>Savings</t>
  </si>
  <si>
    <t>Supplier B payment</t>
  </si>
  <si>
    <t>Supplier C payment</t>
  </si>
  <si>
    <t>Supplier payment</t>
  </si>
  <si>
    <t>Car insurance</t>
  </si>
  <si>
    <t>Business rent</t>
  </si>
  <si>
    <t>Business partner payment</t>
  </si>
  <si>
    <t>Investment co</t>
  </si>
  <si>
    <t>Car loan</t>
  </si>
  <si>
    <t>Shared savings</t>
  </si>
  <si>
    <t>Transfer to Alice</t>
  </si>
  <si>
    <t>David Wilson payment</t>
  </si>
  <si>
    <t>James transfer</t>
  </si>
  <si>
    <t>William Lewis payment</t>
  </si>
  <si>
    <t>Liam transfer</t>
  </si>
  <si>
    <t>Alex Mitchell payment</t>
  </si>
  <si>
    <t>location</t>
  </si>
  <si>
    <t>address</t>
  </si>
  <si>
    <t>last_maintenance</t>
  </si>
  <si>
    <t>cash_available</t>
  </si>
  <si>
    <t>Main Branch Lobby</t>
  </si>
  <si>
    <t>100 Main St, New York</t>
  </si>
  <si>
    <t>Main Branch Exterior</t>
  </si>
  <si>
    <t>Downtown Branch Lobby</t>
  </si>
  <si>
    <t>200 Downtown Ave, New York</t>
  </si>
  <si>
    <t>Nearby Mall</t>
  </si>
  <si>
    <t>300 Mall Rd, New York</t>
  </si>
  <si>
    <t>West Branch Lobby</t>
  </si>
  <si>
    <t>400 West Blvd, Los Angeles</t>
  </si>
  <si>
    <t>Airport Terminal</t>
  </si>
  <si>
    <t>500 Airport Rd, Los Angeles</t>
  </si>
  <si>
    <t>North Branch Lobby</t>
  </si>
  <si>
    <t>600 North Ave, Chicago</t>
  </si>
  <si>
    <t>Train Station</t>
  </si>
  <si>
    <t>700 Central St, Chicago</t>
  </si>
  <si>
    <t>East Branch Lobby</t>
  </si>
  <si>
    <t>800 East Rd, Houston</t>
  </si>
  <si>
    <t>Gas Station</t>
  </si>
  <si>
    <t>900 Highway Rd, Houston</t>
  </si>
  <si>
    <t>OUT_OF_SERVICE</t>
  </si>
  <si>
    <t>South Branch Lobby</t>
  </si>
  <si>
    <t>100 South Blvd, Miami</t>
  </si>
  <si>
    <t>Beach Road</t>
  </si>
  <si>
    <t>200 Beach Rd, Miami</t>
  </si>
  <si>
    <t>Central Branch Lobby</t>
  </si>
  <si>
    <t>100 Central Rd, Dallas</t>
  </si>
  <si>
    <t>NorthWest Branch Lobby</t>
  </si>
  <si>
    <t>100 NW Ave, Seattle</t>
  </si>
  <si>
    <t>Harbor Branch Lobby</t>
  </si>
  <si>
    <t>100 Harbor St, Boston</t>
  </si>
  <si>
    <t>Lakeside Branch Lobby</t>
  </si>
  <si>
    <t>100 Lake Rd, Denver</t>
  </si>
  <si>
    <t>Bay Branch Lobby</t>
  </si>
  <si>
    <t>100 Bay Rd, San Francisco</t>
  </si>
  <si>
    <t>Pier Area</t>
  </si>
  <si>
    <t>200 Pier Blvd, San Francisco</t>
  </si>
  <si>
    <t>Riverside Branch Lobby</t>
  </si>
  <si>
    <t>100 River Rd, Phoenix</t>
  </si>
  <si>
    <t>Metro Branch Lobby</t>
  </si>
  <si>
    <t>100 Metro Ave, Philadelphia</t>
  </si>
  <si>
    <t>Midtown Branch Lobby</t>
  </si>
  <si>
    <t>100 Midtown Blvd, Atlanta</t>
  </si>
  <si>
    <t>Garden Branch Lobby</t>
  </si>
  <si>
    <t>100 Garden St, Portland</t>
  </si>
  <si>
    <t>East Side Lobby</t>
  </si>
  <si>
    <t>400 East Side Ave, New York</t>
  </si>
  <si>
    <t>Nearby Convenience Store</t>
  </si>
  <si>
    <t>500 East 5th St, New York</t>
  </si>
  <si>
    <t>Sunset Branch Lobby</t>
  </si>
  <si>
    <t>500 Sunset Blvd, Los Angeles</t>
  </si>
  <si>
    <t>Midway Branch Lobby</t>
  </si>
  <si>
    <t>700 Midway Dr, Chicago</t>
  </si>
  <si>
    <t>River Oaks Lobby</t>
  </si>
  <si>
    <t>900 River Oaks Blvd, Houston</t>
  </si>
  <si>
    <t>Coconut Grove Lobby</t>
  </si>
  <si>
    <t>300 Coconut Ave, Miami</t>
  </si>
  <si>
    <t>Uptown Dallas Lobby</t>
  </si>
  <si>
    <t>200 Uptown Pkwy, Dallas</t>
  </si>
  <si>
    <t>Capitol Hill Lobby</t>
  </si>
  <si>
    <t>150 Capitol Hill Dr, Seattle</t>
  </si>
  <si>
    <t>Back Bay Lobby</t>
  </si>
  <si>
    <t>100 Back Bay Rd, Boston</t>
  </si>
  <si>
    <t>Cherry Creek Lobby</t>
  </si>
  <si>
    <t>200 Cherry Creek Dr, Denver</t>
  </si>
  <si>
    <t>Financial District Lobby</t>
  </si>
  <si>
    <t>300 Financial St, San Francisco</t>
  </si>
  <si>
    <t>Scottsdale Lobby</t>
  </si>
  <si>
    <t>400 Scottsdale Rd, Phoenix</t>
  </si>
  <si>
    <t>Center City Lobby</t>
  </si>
  <si>
    <t>500 Center City Blvd, Philadelphia</t>
  </si>
  <si>
    <t>Buckhead Lobby</t>
  </si>
  <si>
    <t>600 Buckhead Ave, Atlanta</t>
  </si>
  <si>
    <t>Pearl District Lobby</t>
  </si>
  <si>
    <t>700 Pearl St, Portland</t>
  </si>
  <si>
    <t>Strip Branch Lobby</t>
  </si>
  <si>
    <t>100 Las Vegas Blvd, Las Vegas</t>
  </si>
  <si>
    <t>Casino Area ATM</t>
  </si>
  <si>
    <t>200 Casino Dr, Las Vegas</t>
  </si>
  <si>
    <t>Nashville Lobby</t>
  </si>
  <si>
    <t>100 Broadway, Nashville</t>
  </si>
  <si>
    <t>Austin Lobby</t>
  </si>
  <si>
    <t>100 Sixth St, Austin</t>
  </si>
  <si>
    <t>San Diego Lobby</t>
  </si>
  <si>
    <t>100 Gaslamp Blvd, San Diego</t>
  </si>
  <si>
    <t>Detroit Lobby</t>
  </si>
  <si>
    <t>100 Midtown Ave, Detroit</t>
  </si>
  <si>
    <t>Minneapolis Lobby</t>
  </si>
  <si>
    <t>100 Uptown Rd, Minneapolis</t>
  </si>
  <si>
    <t>St Louis Lobby</t>
  </si>
  <si>
    <t>100 Gateway Blvd, St. Louis</t>
  </si>
  <si>
    <t>Baltimore Lobby</t>
  </si>
  <si>
    <t>100 Inner Harbor Dr, Baltimore</t>
  </si>
  <si>
    <t>Raleigh Lobby</t>
  </si>
  <si>
    <t>100 Research Triangle Pkwy, Raleigh</t>
  </si>
  <si>
    <t>Charlotte Lobby</t>
  </si>
  <si>
    <t>100 Uptown Charlotte Blvd, Charlotte</t>
  </si>
  <si>
    <t>Indianapolis Lobby</t>
  </si>
  <si>
    <t>100 Circle Center Dr, Indianapolis</t>
  </si>
  <si>
    <t>Columbus Lobby</t>
  </si>
  <si>
    <t>100 Short North Ave, Columbus</t>
  </si>
  <si>
    <t>Jacksonville Lobby</t>
  </si>
  <si>
    <t>100 Riverside Blvd, Jacksonville</t>
  </si>
  <si>
    <t>Memphis Lobby</t>
  </si>
  <si>
    <t>100 Downtown Memphis Ave, Memphis</t>
  </si>
  <si>
    <t>Louisville Lobby</t>
  </si>
  <si>
    <t>100 Bardstown Rd, Louisville</t>
  </si>
  <si>
    <t>Richmond Lobby</t>
  </si>
  <si>
    <t>100 Carytown Blvd, Richmond</t>
  </si>
  <si>
    <t>Kansas City Lobby</t>
  </si>
  <si>
    <t>100 Plaza Dr, Kansas City</t>
  </si>
  <si>
    <t>Salt Lake City Lobby</t>
  </si>
  <si>
    <t>100 Temple Square, Salt Lake City</t>
  </si>
  <si>
    <t>Orlando Lobby</t>
  </si>
  <si>
    <t>100 International Dr, Orlando</t>
  </si>
  <si>
    <t>Tampa Lobby</t>
  </si>
  <si>
    <t>100 Ybor City Blvd, Tampa</t>
  </si>
  <si>
    <t>Sacramento Lobby</t>
  </si>
  <si>
    <t>100 Midtown Ave, Sacramento</t>
  </si>
  <si>
    <t>Albuquerque Lobby</t>
  </si>
  <si>
    <t>100 Old Town Rd, Albuquerque</t>
  </si>
  <si>
    <t>table_name</t>
  </si>
  <si>
    <t>operation</t>
  </si>
  <si>
    <t>record_id</t>
  </si>
  <si>
    <t>changed_by</t>
  </si>
  <si>
    <t>change_date</t>
  </si>
  <si>
    <t>old_value</t>
  </si>
  <si>
    <t>new_value</t>
  </si>
  <si>
    <t>UPDATE</t>
  </si>
  <si>
    <t>admin</t>
  </si>
  <si>
    <t>status=ACTIVE</t>
  </si>
  <si>
    <t>status=CLOSED</t>
  </si>
  <si>
    <t>branch_3</t>
  </si>
  <si>
    <t>city=Los Angeles</t>
  </si>
  <si>
    <t>system</t>
  </si>
  <si>
    <t>status=PAID</t>
  </si>
  <si>
    <t>balance=950.00</t>
  </si>
  <si>
    <t>balance=750.00</t>
  </si>
  <si>
    <t>salary=36000</t>
  </si>
  <si>
    <t>salary=38000</t>
  </si>
  <si>
    <t>INSERT</t>
  </si>
  <si>
    <t>branch_10</t>
  </si>
  <si>
    <t>new customer Zoe Cox</t>
  </si>
  <si>
    <t>new checking account</t>
  </si>
  <si>
    <t>salary=35000</t>
  </si>
  <si>
    <t>balance=400.00</t>
  </si>
  <si>
    <t>balance=300.00</t>
  </si>
  <si>
    <t>branch_8</t>
  </si>
  <si>
    <t>email=emma@email.com</t>
  </si>
  <si>
    <t>email=emma2@email.com</t>
  </si>
  <si>
    <t>status=EXPIRED</t>
  </si>
  <si>
    <t>balance=1100.00</t>
  </si>
  <si>
    <t>balance=900.00</t>
  </si>
  <si>
    <t>new employee Iris Woods</t>
  </si>
  <si>
    <t>branch_1</t>
  </si>
  <si>
    <t>phone=555-1001</t>
  </si>
  <si>
    <t>balance=2000.00</t>
  </si>
  <si>
    <t>balance=1500.00</t>
  </si>
  <si>
    <t>balance=5600.00</t>
  </si>
  <si>
    <t>branch_30</t>
  </si>
  <si>
    <t>new customer Tyler Bennett</t>
  </si>
  <si>
    <t>salary=36500</t>
  </si>
  <si>
    <t>salary=37500</t>
  </si>
  <si>
    <t>balance=1200.00</t>
  </si>
  <si>
    <t>balance=800.00</t>
  </si>
  <si>
    <t>branch_11</t>
  </si>
  <si>
    <t>phone=555-2012</t>
  </si>
  <si>
    <t>new employee Kevin Brooks</t>
  </si>
  <si>
    <t>new savings account</t>
  </si>
  <si>
    <t>city=Seattle</t>
  </si>
  <si>
    <t>salary=37000</t>
  </si>
  <si>
    <t>branch_9</t>
  </si>
  <si>
    <t>new car loan customer 7</t>
  </si>
  <si>
    <t>new credit card issued</t>
  </si>
  <si>
    <t>branch_39</t>
  </si>
  <si>
    <t>new customer Nora Russell</t>
  </si>
  <si>
    <t>salary=35500</t>
  </si>
  <si>
    <t>balance=1300.00</t>
  </si>
  <si>
    <t>branch_5</t>
  </si>
  <si>
    <t>status=PAUSED</t>
  </si>
  <si>
    <t>status=PENDING</t>
  </si>
  <si>
    <t>new personal loan customer 9</t>
  </si>
  <si>
    <t>branch_4</t>
  </si>
  <si>
    <t>email=aria@email.com</t>
  </si>
  <si>
    <t>balance=3800.00</t>
  </si>
  <si>
    <t>balance=3400.00</t>
  </si>
  <si>
    <t>branch_14</t>
  </si>
  <si>
    <t>new debit card issued</t>
  </si>
  <si>
    <t>new branch Las Vegas</t>
  </si>
  <si>
    <t>new loan officer Simon Cook</t>
  </si>
  <si>
    <t>branch_17</t>
  </si>
  <si>
    <t>status=CANCELLED</t>
  </si>
  <si>
    <t>new pending transfer</t>
  </si>
  <si>
    <t>balance=2600.00</t>
  </si>
  <si>
    <t>balance=2300.00</t>
  </si>
  <si>
    <t>branch_34</t>
  </si>
  <si>
    <t>phone=555-3005</t>
  </si>
  <si>
    <t>new maintenance fee waived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</si>
</sst>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\$#,##0.00"/>
    <numFmt numFmtId="166" formatCode="yyyy\-mm\-dd"/>
  </numFmts>
  <fonts count="1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7F7F7F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14"/>
      <color rgb="FF1F3864"/>
      <name val="Arial"/>
      <charset val="1"/>
    </font>
    <font>
      <sz val="10"/>
      <name val="Arial"/>
      <charset val="1"/>
    </font>
    <font>
      <b/>
      <sz val="11"/>
      <color rgb="FF006100"/>
      <name val="Arial"/>
      <charset val="1"/>
    </font>
    <font>
      <b/>
      <sz val="10"/>
      <name val="Arial"/>
      <charset val="1"/>
    </font>
    <font>
      <b/>
      <sz val="15"/>
      <color rgb="FFFFFFFF"/>
      <name val="Arial"/>
      <charset val="1"/>
    </font>
    <font>
      <i/>
      <sz val="9"/>
      <color rgb="FF7F7F7F"/>
      <name val="Arial"/>
      <charset val="1"/>
    </font>
    <font>
      <b/>
      <sz val="16"/>
      <color rgb="FF1F3864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9"/>
      <name val="Arial"/>
      <charset val="1"/>
    </font>
    <font>
      <sz val="9"/>
      <color rgb="FF375623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05496"/>
      </patternFill>
    </fill>
    <fill>
      <patternFill patternType="solid">
        <fgColor rgb="FF2E75B6"/>
        <bgColor rgb="FF4A7EBB"/>
      </patternFill>
    </fill>
    <fill>
      <patternFill patternType="solid">
        <fgColor rgb="FF305496"/>
        <bgColor rgb="FF2E75B6"/>
      </patternFill>
    </fill>
    <fill>
      <patternFill patternType="solid">
        <fgColor rgb="FFC6EFCE"/>
        <bgColor rgb="FFD9D9D9"/>
      </patternFill>
    </fill>
    <fill>
      <patternFill patternType="solid">
        <fgColor rgb="FF548235"/>
        <bgColor rgb="FF7F7F7F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2" fillId="3" borderId="0" xfId="0" applyFont="1" applyFill="1" applyAlignment="1">
      <alignment vertical="center" indent="1"/>
    </xf>
    <xf numFmtId="0" fontId="10" fillId="0" borderId="0" xfId="0" applyFont="1"/>
    <xf numFmtId="0" fontId="9" fillId="2" borderId="0" xfId="0" applyFont="1" applyFill="1" applyAlignment="1">
      <alignment vertical="center" indent="1"/>
    </xf>
    <xf numFmtId="0" fontId="6" fillId="0" borderId="0" xfId="0" applyFont="1" applyAlignment="1">
      <alignment vertical="top" wrapText="1"/>
    </xf>
    <xf numFmtId="0" fontId="6" fillId="0" borderId="1" xfId="0" applyFont="1" applyBorder="1"/>
    <xf numFmtId="0" fontId="8" fillId="0" borderId="1" xfId="0" applyFont="1" applyBorder="1"/>
    <xf numFmtId="0" fontId="7" fillId="5" borderId="0" xfId="0" applyFont="1" applyFill="1" applyAlignment="1">
      <alignment horizontal="center"/>
    </xf>
    <xf numFmtId="0" fontId="6" fillId="0" borderId="0" xfId="0" applyFont="1"/>
    <xf numFmtId="0" fontId="3" fillId="3" borderId="0" xfId="0" applyFont="1" applyFill="1" applyAlignment="1">
      <alignment vertical="center" indent="1"/>
    </xf>
    <xf numFmtId="0" fontId="2" fillId="0" borderId="0" xfId="0" applyFont="1"/>
    <xf numFmtId="0" fontId="1" fillId="2" borderId="0" xfId="0" applyFont="1" applyFill="1" applyAlignment="1">
      <alignment vertical="center" indent="1"/>
    </xf>
    <xf numFmtId="0" fontId="4" fillId="4" borderId="1" xfId="0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0" fillId="4" borderId="1" xfId="0" applyFill="1" applyBorder="1"/>
    <xf numFmtId="0" fontId="8" fillId="0" borderId="0" xfId="0" applyFont="1"/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4" fillId="3" borderId="1" xfId="0" applyFont="1" applyFill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13" fillId="4" borderId="1" xfId="0" applyFont="1" applyFill="1" applyBorder="1" applyAlignment="1">
      <alignment horizontal="center" vertical="center" wrapText="1"/>
    </xf>
    <xf numFmtId="0" fontId="14" fillId="0" borderId="1" xfId="0" applyFont="1" applyBorder="1"/>
    <xf numFmtId="3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164" fontId="14" fillId="0" borderId="1" xfId="0" applyNumberFormat="1" applyFont="1" applyBorder="1"/>
    <xf numFmtId="166" fontId="14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2" fontId="14" fillId="0" borderId="1" xfId="0" applyNumberFormat="1" applyFont="1" applyBorder="1" applyAlignment="1">
      <alignment horizontal="center"/>
    </xf>
    <xf numFmtId="0" fontId="15" fillId="0" borderId="1" xfId="0" applyFont="1" applyBorder="1"/>
    <xf numFmtId="3" fontId="15" fillId="0" borderId="1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0" fontId="16" fillId="0" borderId="1" xfId="0" applyFont="1" applyBorder="1"/>
    <xf numFmtId="166" fontId="16" fillId="0" borderId="1" xfId="0" applyNumberFormat="1" applyFont="1" applyBorder="1"/>
    <xf numFmtId="0" fontId="13" fillId="6" borderId="1" xfId="0" applyFont="1" applyFill="1" applyBorder="1" applyAlignment="1">
      <alignment horizontal="center" vertical="center" wrapText="1"/>
    </xf>
    <xf numFmtId="165" fontId="16" fillId="0" borderId="1" xfId="0" applyNumberFormat="1" applyFont="1" applyBorder="1"/>
    <xf numFmtId="0" fontId="17" fillId="0" borderId="1" xfId="0" applyFont="1" applyBorder="1"/>
    <xf numFmtId="2" fontId="16" fillId="0" borderId="1" xfId="0" applyNumberFormat="1" applyFont="1" applyBorder="1"/>
    <xf numFmtId="164" fontId="16" fillId="0" borderId="1" xfId="0" applyNumberFormat="1" applyFont="1" applyBorder="1"/>
  </cellXfs>
  <cellStyles count="1">
    <cellStyle name="Normal" xfId="0" builtinId="0"/>
  </cellStyles>
  <dxfs count="12">
    <dxf>
      <font>
        <b/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4F81BD"/>
      <rgbColor rgb="FFBFBFBF"/>
      <rgbColor rgb="FF7F7F7F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BBB59"/>
      <rgbColor rgb="FFFFCC00"/>
      <rgbColor rgb="FFFF9900"/>
      <rgbColor rgb="FFFF6600"/>
      <rgbColor rgb="FF4A7EBB"/>
      <rgbColor rgb="FF878787"/>
      <rgbColor rgb="FF1F3864"/>
      <rgbColor rgb="FF548235"/>
      <rgbColor rgb="FF003300"/>
      <rgbColor rgb="FF333300"/>
      <rgbColor rgb="FF993300"/>
      <rgbColor rgb="FF993366"/>
      <rgbColor rgb="FF30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Balance by Branch (Top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'6_Branch_Performance'!$F$4</c:f>
              <c:strCache>
                <c:ptCount val="1"/>
                <c:pt idx="0">
                  <c:v>Total Balance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'6_Branch_Performance'!$A$5:$A$14</c:f>
              <c:strCache>
                <c:ptCount val="10"/>
                <c:pt idx="0">
                  <c:v>Bay Branch</c:v>
                </c:pt>
                <c:pt idx="1">
                  <c:v>NorthWest Branch</c:v>
                </c:pt>
                <c:pt idx="2">
                  <c:v>North Branch</c:v>
                </c:pt>
                <c:pt idx="3">
                  <c:v>South Branch</c:v>
                </c:pt>
                <c:pt idx="4">
                  <c:v>Harbor Branch</c:v>
                </c:pt>
                <c:pt idx="5">
                  <c:v>Midtown Branch</c:v>
                </c:pt>
                <c:pt idx="6">
                  <c:v>Riverside Branch</c:v>
                </c:pt>
                <c:pt idx="7">
                  <c:v>Sixth Street Branch</c:v>
                </c:pt>
                <c:pt idx="8">
                  <c:v>Downtown Branch</c:v>
                </c:pt>
                <c:pt idx="9">
                  <c:v>Central Branch</c:v>
                </c:pt>
              </c:strCache>
            </c:strRef>
          </c:cat>
          <c:val>
            <c:numRef>
              <c:f>'6_Branch_Performance'!$F$5:$F$14</c:f>
              <c:numCache>
                <c:formatCode>\$#,##0</c:formatCode>
                <c:ptCount val="10"/>
                <c:pt idx="0">
                  <c:v>184700</c:v>
                </c:pt>
                <c:pt idx="1">
                  <c:v>151000</c:v>
                </c:pt>
                <c:pt idx="2">
                  <c:v>126700</c:v>
                </c:pt>
                <c:pt idx="3">
                  <c:v>125200</c:v>
                </c:pt>
                <c:pt idx="4">
                  <c:v>121500</c:v>
                </c:pt>
                <c:pt idx="5">
                  <c:v>106200</c:v>
                </c:pt>
                <c:pt idx="6">
                  <c:v>86000</c:v>
                </c:pt>
                <c:pt idx="7">
                  <c:v>84200</c:v>
                </c:pt>
                <c:pt idx="8">
                  <c:v>83600</c:v>
                </c:pt>
                <c:pt idx="9">
                  <c:v>77200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2-47FC-8D6E-7CB9D6DC2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08347"/>
        <c:axId val="60685528"/>
      </c:barChart>
      <c:catAx>
        <c:axId val="363083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685528"/>
        <c:crosses val="autoZero"/>
        <c:auto val="1"/>
        <c:lblAlgn val="ctr"/>
        <c:lblOffset val="100"/>
        <c:noMultiLvlLbl val="0"/>
      </c:catAx>
      <c:valAx>
        <c:axId val="606855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3083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Accounts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'2_Account_Analysis'!$B$13</c:f>
              <c:strCache>
                <c:ptCount val="1"/>
                <c:pt idx="0">
                  <c:v>Accounts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DC1-44ED-A4E0-7C313E72E31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9DC1-44ED-A4E0-7C313E72E31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DC1-44ED-A4E0-7C313E72E31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DC1-44ED-A4E0-7C313E72E3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'2_Account_Analysis'!$A$14:$A$15</c:f>
              <c:strCache>
                <c:ptCount val="2"/>
                <c:pt idx="0">
                  <c:v>SAVINGS</c:v>
                </c:pt>
                <c:pt idx="1">
                  <c:v>CHECKING</c:v>
                </c:pt>
              </c:strCache>
            </c:strRef>
          </c:cat>
          <c:val>
            <c:numRef>
              <c:f>'2_Account_Analysis'!$B$14:$B$15</c:f>
              <c:numCache>
                <c:formatCode>#,##0</c:formatCode>
                <c:ptCount val="2"/>
                <c:pt idx="0">
                  <c:v>45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C1-44ED-A4E0-7C313E72E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Transaction Amount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'3_Transaction_Analysis'!$C$8</c:f>
              <c:strCache>
                <c:ptCount val="1"/>
                <c:pt idx="0">
                  <c:v>Total Amount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'3_Transaction_Analysis'!$A$9:$A$16</c:f>
              <c:strCache>
                <c:ptCount val="8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</c:strCache>
            </c:strRef>
          </c:cat>
          <c:val>
            <c:numRef>
              <c:f>'3_Transaction_Analysis'!$C$9:$C$16</c:f>
              <c:numCache>
                <c:formatCode>\$#,##0</c:formatCode>
                <c:ptCount val="8"/>
                <c:pt idx="0">
                  <c:v>20000</c:v>
                </c:pt>
                <c:pt idx="1">
                  <c:v>33100</c:v>
                </c:pt>
                <c:pt idx="2">
                  <c:v>73100</c:v>
                </c:pt>
                <c:pt idx="3">
                  <c:v>96400</c:v>
                </c:pt>
                <c:pt idx="4">
                  <c:v>60000</c:v>
                </c:pt>
                <c:pt idx="5">
                  <c:v>75200</c:v>
                </c:pt>
                <c:pt idx="6">
                  <c:v>58300</c:v>
                </c:pt>
                <c:pt idx="7">
                  <c:v>27800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49-4078-B860-50F1F75C0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9042319"/>
        <c:axId val="20578242"/>
      </c:lineChart>
      <c:catAx>
        <c:axId val="5904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578242"/>
        <c:crosses val="autoZero"/>
        <c:auto val="1"/>
        <c:lblAlgn val="ctr"/>
        <c:lblOffset val="100"/>
        <c:noMultiLvlLbl val="0"/>
      </c:catAx>
      <c:valAx>
        <c:axId val="205782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0423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Loan Amount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'4_Loan_Analysis'!$C$8</c:f>
              <c:strCache>
                <c:ptCount val="1"/>
                <c:pt idx="0">
                  <c:v>Total Amount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'4_Loan_Analysis'!$A$9:$A$12</c:f>
              <c:strCache>
                <c:ptCount val="4"/>
                <c:pt idx="0">
                  <c:v>HOME</c:v>
                </c:pt>
                <c:pt idx="1">
                  <c:v>BUSINESS</c:v>
                </c:pt>
                <c:pt idx="2">
                  <c:v>CAR</c:v>
                </c:pt>
                <c:pt idx="3">
                  <c:v>PERSONAL</c:v>
                </c:pt>
              </c:strCache>
            </c:strRef>
          </c:cat>
          <c:val>
            <c:numRef>
              <c:f>'4_Loan_Analysis'!$C$9:$C$12</c:f>
              <c:numCache>
                <c:formatCode>\$#,##0</c:formatCode>
                <c:ptCount val="4"/>
                <c:pt idx="0">
                  <c:v>3710000</c:v>
                </c:pt>
                <c:pt idx="1">
                  <c:v>2280000</c:v>
                </c:pt>
                <c:pt idx="2">
                  <c:v>290000</c:v>
                </c:pt>
                <c:pt idx="3">
                  <c:v>94000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5-45B0-8B4C-2220C803E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719381"/>
        <c:axId val="73268785"/>
      </c:barChart>
      <c:catAx>
        <c:axId val="597193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268785"/>
        <c:crosses val="autoZero"/>
        <c:auto val="1"/>
        <c:lblAlgn val="ctr"/>
        <c:lblOffset val="100"/>
        <c:noMultiLvlLbl val="0"/>
      </c:catAx>
      <c:valAx>
        <c:axId val="732687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7193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Cards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'5_Card_Analysis'!$E$8</c:f>
              <c:strCache>
                <c:ptCount val="1"/>
                <c:pt idx="0">
                  <c:v># Cards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D10-4B1C-8410-CFD02A6B716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D10-4B1C-8410-CFD02A6B716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4D10-4B1C-8410-CFD02A6B7163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D10-4B1C-8410-CFD02A6B7163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D10-4B1C-8410-CFD02A6B7163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4D10-4B1C-8410-CFD02A6B71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'5_Card_Analysis'!$D$9:$D$11</c:f>
              <c:strCache>
                <c:ptCount val="3"/>
                <c:pt idx="0">
                  <c:v>ACTIVE</c:v>
                </c:pt>
                <c:pt idx="1">
                  <c:v>EXPIRED</c:v>
                </c:pt>
                <c:pt idx="2">
                  <c:v>BLOCKED</c:v>
                </c:pt>
              </c:strCache>
            </c:strRef>
          </c:cat>
          <c:val>
            <c:numRef>
              <c:f>'5_Card_Analysis'!$E$9:$E$11</c:f>
              <c:numCache>
                <c:formatCode>#,##0</c:formatCode>
                <c:ptCount val="3"/>
                <c:pt idx="0">
                  <c:v>53</c:v>
                </c:pt>
                <c:pt idx="1">
                  <c:v>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10-4B1C-8410-CFD02A6B7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Customers by City (Top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'1_Customer_Analysis'!$B$8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'1_Customer_Analysis'!$A$9:$A$18</c:f>
              <c:strCache>
                <c:ptCount val="10"/>
                <c:pt idx="0">
                  <c:v>New York</c:v>
                </c:pt>
                <c:pt idx="1">
                  <c:v>Miami</c:v>
                </c:pt>
                <c:pt idx="2">
                  <c:v>Dallas</c:v>
                </c:pt>
                <c:pt idx="3">
                  <c:v>Seattle</c:v>
                </c:pt>
                <c:pt idx="4">
                  <c:v>Boston</c:v>
                </c:pt>
                <c:pt idx="5">
                  <c:v>Denver</c:v>
                </c:pt>
                <c:pt idx="6">
                  <c:v>Los Angeles</c:v>
                </c:pt>
                <c:pt idx="7">
                  <c:v>Chicago</c:v>
                </c:pt>
                <c:pt idx="8">
                  <c:v>Houston</c:v>
                </c:pt>
                <c:pt idx="9">
                  <c:v>San Francisco</c:v>
                </c:pt>
              </c:strCache>
            </c:strRef>
          </c:cat>
          <c:val>
            <c:numRef>
              <c:f>'1_Customer_Analysis'!$B$9:$B$18</c:f>
              <c:numCache>
                <c:formatCode>#,##0</c:formatCode>
                <c:ptCount val="10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0-48A5-B4BC-A25550BFB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12706"/>
        <c:axId val="96249012"/>
      </c:barChart>
      <c:catAx>
        <c:axId val="801270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249012"/>
        <c:crosses val="autoZero"/>
        <c:auto val="1"/>
        <c:lblAlgn val="ctr"/>
        <c:lblOffset val="100"/>
        <c:noMultiLvlLbl val="0"/>
      </c:catAx>
      <c:valAx>
        <c:axId val="9624901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127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507600</xdr:colOff>
      <xdr:row>17</xdr:row>
      <xdr:rowOff>94320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</xdr:row>
      <xdr:rowOff>0</xdr:rowOff>
    </xdr:from>
    <xdr:to>
      <xdr:col>16</xdr:col>
      <xdr:colOff>507600</xdr:colOff>
      <xdr:row>17</xdr:row>
      <xdr:rowOff>94320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0</xdr:rowOff>
    </xdr:from>
    <xdr:to>
      <xdr:col>8</xdr:col>
      <xdr:colOff>507600</xdr:colOff>
      <xdr:row>33</xdr:row>
      <xdr:rowOff>93960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18</xdr:row>
      <xdr:rowOff>0</xdr:rowOff>
    </xdr:from>
    <xdr:to>
      <xdr:col>16</xdr:col>
      <xdr:colOff>507600</xdr:colOff>
      <xdr:row>33</xdr:row>
      <xdr:rowOff>93960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8</xdr:col>
      <xdr:colOff>507600</xdr:colOff>
      <xdr:row>49</xdr:row>
      <xdr:rowOff>94320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34</xdr:row>
      <xdr:rowOff>0</xdr:rowOff>
    </xdr:from>
    <xdr:to>
      <xdr:col>16</xdr:col>
      <xdr:colOff>507600</xdr:colOff>
      <xdr:row>49</xdr:row>
      <xdr:rowOff>94320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bl_BRANCHES" displayName="tbl_BRANCHES" ref="A1:D61" totalsRowShown="0">
  <autoFilter ref="A1:D61" xr:uid="{00000000-0009-0000-0100-000005000000}"/>
  <tableColumns count="4">
    <tableColumn id="1" xr3:uid="{00000000-0010-0000-0000-000001000000}" name="branch_id"/>
    <tableColumn id="2" xr3:uid="{00000000-0010-0000-0000-000002000000}" name="branch_name"/>
    <tableColumn id="3" xr3:uid="{00000000-0010-0000-0000-000003000000}" name="city"/>
    <tableColumn id="4" xr3:uid="{00000000-0010-0000-0000-000004000000}" name="phon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bl_CUSTOMERS" displayName="tbl_CUSTOMERS" ref="A1:H61" totalsRowShown="0">
  <autoFilter ref="A1:H61" xr:uid="{00000000-0009-0000-0100-000007000000}"/>
  <tableColumns count="8">
    <tableColumn id="1" xr3:uid="{00000000-0010-0000-0100-000001000000}" name="customer_id"/>
    <tableColumn id="2" xr3:uid="{00000000-0010-0000-0100-000002000000}" name="first_name"/>
    <tableColumn id="3" xr3:uid="{00000000-0010-0000-0100-000003000000}" name="last_name"/>
    <tableColumn id="4" xr3:uid="{00000000-0010-0000-0100-000004000000}" name="email"/>
    <tableColumn id="5" xr3:uid="{00000000-0010-0000-0100-000005000000}" name="phone"/>
    <tableColumn id="6" xr3:uid="{00000000-0010-0000-0100-000006000000}" name="city"/>
    <tableColumn id="7" xr3:uid="{00000000-0010-0000-0100-000007000000}" name="join_date"/>
    <tableColumn id="8" xr3:uid="{00000000-0010-0000-0100-000008000000}" name="branch_i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bl_ACCOUNTS" displayName="tbl_ACCOUNTS" ref="A1:I83" totalsRowShown="0">
  <autoFilter ref="A1:I83" xr:uid="{00000000-0009-0000-0100-000001000000}"/>
  <tableColumns count="9">
    <tableColumn id="1" xr3:uid="{00000000-0010-0000-0200-000001000000}" name="account_id"/>
    <tableColumn id="2" xr3:uid="{00000000-0010-0000-0200-000002000000}" name="customer_id"/>
    <tableColumn id="3" xr3:uid="{00000000-0010-0000-0200-000003000000}" name="account_type"/>
    <tableColumn id="4" xr3:uid="{00000000-0010-0000-0200-000004000000}" name="balance"/>
    <tableColumn id="5" xr3:uid="{00000000-0010-0000-0200-000005000000}" name="open_date"/>
    <tableColumn id="6" xr3:uid="{00000000-0010-0000-0200-000006000000}" name="status"/>
    <tableColumn id="7" xr3:uid="{00000000-0010-0000-0200-000007000000}" name="branch_id"/>
    <tableColumn id="8" xr3:uid="{00000000-0010-0000-0200-000008000000}" name="branch_name"/>
    <tableColumn id="9" xr3:uid="{00000000-0010-0000-0200-000009000000}" name="city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3000000}" name="tbl_TRANSACTIONS" displayName="tbl_TRANSACTIONS" ref="A1:F81" totalsRowShown="0">
  <autoFilter ref="A1:F81" xr:uid="{00000000-0009-0000-0100-00000D000000}"/>
  <tableColumns count="6">
    <tableColumn id="1" xr3:uid="{00000000-0010-0000-0300-000001000000}" name="transaction_id"/>
    <tableColumn id="2" xr3:uid="{00000000-0010-0000-0300-000002000000}" name="account_id"/>
    <tableColumn id="3" xr3:uid="{00000000-0010-0000-0300-000003000000}" name="trans_type"/>
    <tableColumn id="4" xr3:uid="{00000000-0010-0000-0300-000004000000}" name="amount"/>
    <tableColumn id="5" xr3:uid="{00000000-0010-0000-0300-000005000000}" name="trans_date"/>
    <tableColumn id="6" xr3:uid="{00000000-0010-0000-0300-000006000000}" name="descriptio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4000000}" name="tbl_LOANS" displayName="tbl_LOANS" ref="A1:J61" totalsRowShown="0">
  <autoFilter ref="A1:J61" xr:uid="{00000000-0009-0000-0100-00000B000000}"/>
  <tableColumns count="10">
    <tableColumn id="1" xr3:uid="{00000000-0010-0000-0400-000001000000}" name="loan_id"/>
    <tableColumn id="2" xr3:uid="{00000000-0010-0000-0400-000002000000}" name="customer_id"/>
    <tableColumn id="3" xr3:uid="{00000000-0010-0000-0400-000003000000}" name="loan_type"/>
    <tableColumn id="4" xr3:uid="{00000000-0010-0000-0400-000004000000}" name="amount"/>
    <tableColumn id="5" xr3:uid="{00000000-0010-0000-0400-000005000000}" name="interest_rate"/>
    <tableColumn id="6" xr3:uid="{00000000-0010-0000-0400-000006000000}" name="start_date"/>
    <tableColumn id="7" xr3:uid="{00000000-0010-0000-0400-000007000000}" name="end_date"/>
    <tableColumn id="8" xr3:uid="{00000000-0010-0000-0400-000008000000}" name="status"/>
    <tableColumn id="9" xr3:uid="{00000000-0010-0000-0400-000009000000}" name="branch_id"/>
    <tableColumn id="10" xr3:uid="{00000000-0010-0000-0400-00000A000000}" name="branch_nam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bl_EMPLOYEES" displayName="tbl_EMPLOYEES" ref="A1:H61" totalsRowShown="0">
  <autoFilter ref="A1:H61" xr:uid="{00000000-0009-0000-0100-000008000000}"/>
  <tableColumns count="8">
    <tableColumn id="1" xr3:uid="{00000000-0010-0000-0500-000001000000}" name="employee_id"/>
    <tableColumn id="2" xr3:uid="{00000000-0010-0000-0500-000002000000}" name="first_name"/>
    <tableColumn id="3" xr3:uid="{00000000-0010-0000-0500-000003000000}" name="last_name"/>
    <tableColumn id="4" xr3:uid="{00000000-0010-0000-0500-000004000000}" name="job_title"/>
    <tableColumn id="5" xr3:uid="{00000000-0010-0000-0500-000005000000}" name="salary"/>
    <tableColumn id="6" xr3:uid="{00000000-0010-0000-0500-000006000000}" name="branch_id"/>
    <tableColumn id="7" xr3:uid="{00000000-0010-0000-0500-000007000000}" name="hire_date"/>
    <tableColumn id="8" xr3:uid="{00000000-0010-0000-0500-000008000000}" name="manager_id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bl_CARDS" displayName="tbl_CARDS" ref="A1:H61" totalsRowShown="0">
  <autoFilter ref="A1:H61" xr:uid="{00000000-0009-0000-0100-000006000000}"/>
  <tableColumns count="8">
    <tableColumn id="1" xr3:uid="{00000000-0010-0000-0600-000001000000}" name="card_id"/>
    <tableColumn id="2" xr3:uid="{00000000-0010-0000-0600-000002000000}" name="account_id"/>
    <tableColumn id="3" xr3:uid="{00000000-0010-0000-0600-000003000000}" name="card_type"/>
    <tableColumn id="4" xr3:uid="{00000000-0010-0000-0600-000004000000}" name="card_number"/>
    <tableColumn id="5" xr3:uid="{00000000-0010-0000-0600-000005000000}" name="expiry_date"/>
    <tableColumn id="6" xr3:uid="{00000000-0010-0000-0600-000006000000}" name="status"/>
    <tableColumn id="7" xr3:uid="{00000000-0010-0000-0600-000007000000}" name="credit_limit"/>
    <tableColumn id="8" xr3:uid="{00000000-0010-0000-0600-000008000000}" name="issued_date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7000000}" name="tbl_TRANSFERS" displayName="tbl_TRANSFERS" ref="A1:G61" totalsRowShown="0">
  <autoFilter ref="A1:G61" xr:uid="{00000000-0009-0000-0100-00000E000000}"/>
  <tableColumns count="7">
    <tableColumn id="1" xr3:uid="{00000000-0010-0000-0700-000001000000}" name="transfer_id"/>
    <tableColumn id="2" xr3:uid="{00000000-0010-0000-0700-000002000000}" name="from_account_id"/>
    <tableColumn id="3" xr3:uid="{00000000-0010-0000-0700-000003000000}" name="to_account_id"/>
    <tableColumn id="4" xr3:uid="{00000000-0010-0000-0700-000004000000}" name="amount"/>
    <tableColumn id="5" xr3:uid="{00000000-0010-0000-0700-000005000000}" name="transfer_date"/>
    <tableColumn id="6" xr3:uid="{00000000-0010-0000-0700-000006000000}" name="description"/>
    <tableColumn id="7" xr3:uid="{00000000-0010-0000-0700-000007000000}" name="statu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8000000}" name="tbl_BENEFICIARIES" displayName="tbl_BENEFICIARIES" ref="A1:G61" totalsRowShown="0">
  <autoFilter ref="A1:G61" xr:uid="{00000000-0009-0000-0100-000004000000}"/>
  <tableColumns count="7">
    <tableColumn id="1" xr3:uid="{00000000-0010-0000-0800-000001000000}" name="beneficiary_id"/>
    <tableColumn id="2" xr3:uid="{00000000-0010-0000-0800-000002000000}" name="customer_id"/>
    <tableColumn id="3" xr3:uid="{00000000-0010-0000-0800-000003000000}" name="beneficiary_name"/>
    <tableColumn id="4" xr3:uid="{00000000-0010-0000-0800-000004000000}" name="account_number"/>
    <tableColumn id="5" xr3:uid="{00000000-0010-0000-0800-000005000000}" name="bank_name"/>
    <tableColumn id="6" xr3:uid="{00000000-0010-0000-0800-000006000000}" name="nickname"/>
    <tableColumn id="7" xr3:uid="{00000000-0010-0000-0800-000007000000}" name="created_date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tbl_FEES" displayName="tbl_FEES" ref="A1:G61" totalsRowShown="0">
  <autoFilter ref="A1:G61" xr:uid="{00000000-0009-0000-0100-000009000000}"/>
  <tableColumns count="7">
    <tableColumn id="1" xr3:uid="{00000000-0010-0000-0900-000001000000}" name="fee_id"/>
    <tableColumn id="2" xr3:uid="{00000000-0010-0000-0900-000002000000}" name="account_id"/>
    <tableColumn id="3" xr3:uid="{00000000-0010-0000-0900-000003000000}" name="fee_type"/>
    <tableColumn id="4" xr3:uid="{00000000-0010-0000-0900-000004000000}" name="amount"/>
    <tableColumn id="5" xr3:uid="{00000000-0010-0000-0900-000005000000}" name="fee_date"/>
    <tableColumn id="6" xr3:uid="{00000000-0010-0000-0900-000006000000}" name="description"/>
    <tableColumn id="7" xr3:uid="{00000000-0010-0000-0900-000007000000}" name="status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bl_LOAN_PAYMENTS" displayName="tbl_LOAN_PAYMENTS" ref="A1:H61" totalsRowShown="0">
  <autoFilter ref="A1:H61" xr:uid="{00000000-0009-0000-0100-00000A000000}"/>
  <tableColumns count="8">
    <tableColumn id="1" xr3:uid="{00000000-0010-0000-0A00-000001000000}" name="payment_id"/>
    <tableColumn id="2" xr3:uid="{00000000-0010-0000-0A00-000002000000}" name="loan_id"/>
    <tableColumn id="3" xr3:uid="{00000000-0010-0000-0A00-000003000000}" name="payment_date"/>
    <tableColumn id="4" xr3:uid="{00000000-0010-0000-0A00-000004000000}" name="amount"/>
    <tableColumn id="5" xr3:uid="{00000000-0010-0000-0A00-000005000000}" name="principal_paid"/>
    <tableColumn id="6" xr3:uid="{00000000-0010-0000-0A00-000006000000}" name="interest_paid"/>
    <tableColumn id="7" xr3:uid="{00000000-0010-0000-0A00-000007000000}" name="remaining_balance"/>
    <tableColumn id="8" xr3:uid="{00000000-0010-0000-0A00-000008000000}" name="status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STANDING_ORDERS" displayName="tbl_STANDING_ORDERS" ref="A1:H61" totalsRowShown="0">
  <autoFilter ref="A1:H61" xr:uid="{00000000-0009-0000-0100-00000C000000}"/>
  <tableColumns count="8">
    <tableColumn id="1" xr3:uid="{00000000-0010-0000-0B00-000001000000}" name="order_id"/>
    <tableColumn id="2" xr3:uid="{00000000-0010-0000-0B00-000002000000}" name="account_id"/>
    <tableColumn id="3" xr3:uid="{00000000-0010-0000-0B00-000003000000}" name="beneficiary_id"/>
    <tableColumn id="4" xr3:uid="{00000000-0010-0000-0B00-000004000000}" name="amount"/>
    <tableColumn id="5" xr3:uid="{00000000-0010-0000-0B00-000005000000}" name="frequency"/>
    <tableColumn id="6" xr3:uid="{00000000-0010-0000-0B00-000006000000}" name="next_execution_date"/>
    <tableColumn id="7" xr3:uid="{00000000-0010-0000-0B00-000007000000}" name="status"/>
    <tableColumn id="8" xr3:uid="{00000000-0010-0000-0B00-000008000000}" name="description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C000000}" name="tbl_ATM_MACHINES" displayName="tbl_ATM_MACHINES" ref="A1:G61" totalsRowShown="0">
  <autoFilter ref="A1:G61" xr:uid="{00000000-0009-0000-0100-000002000000}"/>
  <tableColumns count="7">
    <tableColumn id="1" xr3:uid="{00000000-0010-0000-0C00-000001000000}" name="atm_id"/>
    <tableColumn id="2" xr3:uid="{00000000-0010-0000-0C00-000002000000}" name="branch_id"/>
    <tableColumn id="3" xr3:uid="{00000000-0010-0000-0C00-000003000000}" name="location"/>
    <tableColumn id="4" xr3:uid="{00000000-0010-0000-0C00-000004000000}" name="address"/>
    <tableColumn id="5" xr3:uid="{00000000-0010-0000-0C00-000005000000}" name="status"/>
    <tableColumn id="6" xr3:uid="{00000000-0010-0000-0C00-000006000000}" name="last_maintenance"/>
    <tableColumn id="7" xr3:uid="{00000000-0010-0000-0C00-000007000000}" name="cash_available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D000000}" name="tbl_AUDIT_LOG" displayName="tbl_AUDIT_LOG" ref="A1:H61" totalsRowShown="0">
  <autoFilter ref="A1:H61" xr:uid="{00000000-0009-0000-0100-000003000000}"/>
  <tableColumns count="8">
    <tableColumn id="1" xr3:uid="{00000000-0010-0000-0D00-000001000000}" name="log_id"/>
    <tableColumn id="2" xr3:uid="{00000000-0010-0000-0D00-000002000000}" name="table_name"/>
    <tableColumn id="3" xr3:uid="{00000000-0010-0000-0D00-000003000000}" name="operation"/>
    <tableColumn id="4" xr3:uid="{00000000-0010-0000-0D00-000004000000}" name="record_id"/>
    <tableColumn id="5" xr3:uid="{00000000-0010-0000-0D00-000005000000}" name="changed_by"/>
    <tableColumn id="6" xr3:uid="{00000000-0010-0000-0D00-000006000000}" name="change_date"/>
    <tableColumn id="7" xr3:uid="{00000000-0010-0000-0D00-000007000000}" name="old_value"/>
    <tableColumn id="8" xr3:uid="{00000000-0010-0000-0D00-000008000000}" name="new_val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topLeftCell="A34" zoomScaleNormal="100" workbookViewId="0">
      <selection activeCell="J4" sqref="J4"/>
    </sheetView>
  </sheetViews>
  <sheetFormatPr defaultColWidth="8.6640625" defaultRowHeight="14.4" x14ac:dyDescent="0.3"/>
  <cols>
    <col min="1" max="2" width="16" customWidth="1"/>
    <col min="3" max="3" width="30" customWidth="1"/>
    <col min="4" max="6" width="15" customWidth="1"/>
  </cols>
  <sheetData>
    <row r="1" spans="1:8" ht="30" customHeight="1" x14ac:dyDescent="0.3">
      <c r="A1" s="11" t="s">
        <v>0</v>
      </c>
      <c r="B1" s="11"/>
      <c r="C1" s="11"/>
      <c r="D1" s="11"/>
      <c r="E1" s="11"/>
      <c r="F1" s="11"/>
      <c r="G1" s="11"/>
      <c r="H1" s="11"/>
    </row>
    <row r="2" spans="1:8" x14ac:dyDescent="0.3">
      <c r="A2" s="10"/>
      <c r="B2" s="10"/>
      <c r="C2" s="10"/>
      <c r="D2" s="10"/>
      <c r="E2" s="10"/>
      <c r="F2" s="10"/>
      <c r="G2" s="10"/>
      <c r="H2" s="10"/>
    </row>
    <row r="4" spans="1:8" ht="19.5" customHeight="1" x14ac:dyDescent="0.3">
      <c r="A4" s="9" t="s">
        <v>1</v>
      </c>
      <c r="B4" s="9"/>
      <c r="C4" s="9"/>
      <c r="D4" s="9"/>
      <c r="E4" s="9"/>
      <c r="F4" s="9"/>
      <c r="G4" s="9"/>
      <c r="H4" s="9"/>
    </row>
    <row r="5" spans="1:8" x14ac:dyDescent="0.3">
      <c r="A5" s="12" t="s">
        <v>2</v>
      </c>
      <c r="B5" s="12" t="s">
        <v>3</v>
      </c>
      <c r="C5" s="12" t="s">
        <v>4</v>
      </c>
      <c r="D5" s="12" t="s">
        <v>5</v>
      </c>
      <c r="E5" s="12" t="s">
        <v>6</v>
      </c>
      <c r="F5" s="12" t="s">
        <v>7</v>
      </c>
    </row>
    <row r="6" spans="1:8" ht="17.399999999999999" x14ac:dyDescent="0.3">
      <c r="A6" s="13">
        <f>COUNTA(CUSTOMERS!$A$2:$A$61)</f>
        <v>60</v>
      </c>
      <c r="B6" s="13">
        <f>COUNTA(ACCOUNTS!$A$2:$A$83)</f>
        <v>82</v>
      </c>
      <c r="C6" s="14">
        <f>SUM(ACCOUNTS!$D$2:$D$83)</f>
        <v>1554450</v>
      </c>
      <c r="D6" s="13">
        <f>COUNTA(TRANSACTIONS!$A$2:$A$81)</f>
        <v>80</v>
      </c>
      <c r="E6" s="13">
        <f>COUNTA(LOANS!$A$2:$A$61)</f>
        <v>60</v>
      </c>
      <c r="F6" s="13">
        <f>COUNTA(CARDS!$A$2:$A$61)</f>
        <v>60</v>
      </c>
    </row>
    <row r="8" spans="1:8" ht="19.5" customHeight="1" x14ac:dyDescent="0.3">
      <c r="A8" s="9" t="s">
        <v>8</v>
      </c>
      <c r="B8" s="9"/>
      <c r="C8" s="9"/>
      <c r="D8" s="9"/>
      <c r="E8" s="9"/>
      <c r="F8" s="9"/>
      <c r="G8" s="9"/>
      <c r="H8" s="9"/>
    </row>
    <row r="9" spans="1:8" x14ac:dyDescent="0.3">
      <c r="A9" s="8" t="s">
        <v>9</v>
      </c>
      <c r="B9" s="8"/>
      <c r="C9" s="8"/>
      <c r="D9" s="8"/>
      <c r="E9" s="7" t="str">
        <f>IF(COUNTIF(Data_Quality!$D:$D,"FAIL")+COUNTIF(Data_Quality!$F:$F,"FAIL")=0,"ALL CHECKS PASSED","REVIEW NEEDED")</f>
        <v>ALL CHECKS PASSED</v>
      </c>
      <c r="F9" s="7"/>
    </row>
    <row r="11" spans="1:8" ht="19.5" customHeight="1" x14ac:dyDescent="0.3">
      <c r="A11" s="9" t="s">
        <v>10</v>
      </c>
      <c r="B11" s="9"/>
      <c r="C11" s="9"/>
      <c r="D11" s="9"/>
      <c r="E11" s="9"/>
      <c r="F11" s="9"/>
      <c r="G11" s="9"/>
      <c r="H11" s="9"/>
    </row>
    <row r="12" spans="1:8" x14ac:dyDescent="0.3">
      <c r="A12" s="6" t="s">
        <v>11</v>
      </c>
      <c r="B12" s="6"/>
      <c r="C12" s="5" t="s">
        <v>12</v>
      </c>
      <c r="D12" s="5"/>
      <c r="E12" s="5"/>
      <c r="F12" s="5"/>
      <c r="G12" s="5"/>
      <c r="H12" s="5"/>
    </row>
    <row r="13" spans="1:8" x14ac:dyDescent="0.3">
      <c r="A13" s="6" t="s">
        <v>13</v>
      </c>
      <c r="B13" s="6"/>
      <c r="C13" s="5" t="s">
        <v>14</v>
      </c>
      <c r="D13" s="5"/>
      <c r="E13" s="5"/>
      <c r="F13" s="5"/>
      <c r="G13" s="5"/>
      <c r="H13" s="5"/>
    </row>
    <row r="14" spans="1:8" x14ac:dyDescent="0.3">
      <c r="A14" s="6" t="s">
        <v>15</v>
      </c>
      <c r="B14" s="6"/>
      <c r="C14" s="5" t="s">
        <v>16</v>
      </c>
      <c r="D14" s="5"/>
      <c r="E14" s="5"/>
      <c r="F14" s="5"/>
      <c r="G14" s="5"/>
      <c r="H14" s="5"/>
    </row>
    <row r="15" spans="1:8" x14ac:dyDescent="0.3">
      <c r="A15" s="6" t="s">
        <v>17</v>
      </c>
      <c r="B15" s="6"/>
      <c r="C15" s="5" t="s">
        <v>18</v>
      </c>
      <c r="D15" s="5"/>
      <c r="E15" s="5"/>
      <c r="F15" s="5"/>
      <c r="G15" s="5"/>
      <c r="H15" s="5"/>
    </row>
    <row r="16" spans="1:8" x14ac:dyDescent="0.3">
      <c r="A16" s="6" t="s">
        <v>19</v>
      </c>
      <c r="B16" s="6"/>
      <c r="C16" s="5" t="s">
        <v>20</v>
      </c>
      <c r="D16" s="5"/>
      <c r="E16" s="5"/>
      <c r="F16" s="5"/>
      <c r="G16" s="5"/>
      <c r="H16" s="5"/>
    </row>
    <row r="18" spans="1:8" ht="19.5" customHeight="1" x14ac:dyDescent="0.3">
      <c r="A18" s="9" t="s">
        <v>21</v>
      </c>
      <c r="B18" s="9"/>
      <c r="C18" s="9"/>
      <c r="D18" s="9"/>
      <c r="E18" s="9"/>
      <c r="F18" s="9"/>
      <c r="G18" s="9"/>
      <c r="H18" s="9"/>
    </row>
    <row r="19" spans="1:8" ht="27.75" customHeight="1" x14ac:dyDescent="0.3">
      <c r="A19" s="4" t="s">
        <v>22</v>
      </c>
      <c r="B19" s="4"/>
      <c r="C19" s="4"/>
      <c r="D19" s="4"/>
      <c r="E19" s="4"/>
      <c r="F19" s="4"/>
      <c r="G19" s="4"/>
      <c r="H19" s="4"/>
    </row>
    <row r="20" spans="1:8" ht="27.75" customHeight="1" x14ac:dyDescent="0.3">
      <c r="A20" s="4" t="s">
        <v>23</v>
      </c>
      <c r="B20" s="4"/>
      <c r="C20" s="4"/>
      <c r="D20" s="4"/>
      <c r="E20" s="4"/>
      <c r="F20" s="4"/>
      <c r="G20" s="4"/>
      <c r="H20" s="4"/>
    </row>
    <row r="21" spans="1:8" ht="27.75" customHeight="1" x14ac:dyDescent="0.3">
      <c r="A21" s="4" t="s">
        <v>24</v>
      </c>
      <c r="B21" s="4"/>
      <c r="C21" s="4"/>
      <c r="D21" s="4"/>
      <c r="E21" s="4"/>
      <c r="F21" s="4"/>
      <c r="G21" s="4"/>
      <c r="H21" s="4"/>
    </row>
    <row r="22" spans="1:8" ht="27.75" customHeight="1" x14ac:dyDescent="0.3">
      <c r="A22" s="4" t="s">
        <v>25</v>
      </c>
      <c r="B22" s="4"/>
      <c r="C22" s="4"/>
      <c r="D22" s="4"/>
      <c r="E22" s="4"/>
      <c r="F22" s="4"/>
      <c r="G22" s="4"/>
      <c r="H22" s="4"/>
    </row>
    <row r="23" spans="1:8" ht="27.75" customHeight="1" x14ac:dyDescent="0.3">
      <c r="A23" s="4" t="s">
        <v>26</v>
      </c>
      <c r="B23" s="4"/>
      <c r="C23" s="4"/>
      <c r="D23" s="4"/>
      <c r="E23" s="4"/>
      <c r="F23" s="4"/>
      <c r="G23" s="4"/>
      <c r="H23" s="4"/>
    </row>
    <row r="24" spans="1:8" ht="27.75" customHeight="1" x14ac:dyDescent="0.3">
      <c r="A24" s="4" t="s">
        <v>27</v>
      </c>
      <c r="B24" s="4"/>
      <c r="C24" s="4"/>
      <c r="D24" s="4"/>
      <c r="E24" s="4"/>
      <c r="F24" s="4"/>
      <c r="G24" s="4"/>
      <c r="H24" s="4"/>
    </row>
    <row r="26" spans="1:8" ht="19.5" customHeight="1" x14ac:dyDescent="0.3">
      <c r="A26" s="9" t="s">
        <v>28</v>
      </c>
      <c r="B26" s="9"/>
      <c r="C26" s="9"/>
      <c r="D26" s="9"/>
      <c r="E26" s="9"/>
      <c r="F26" s="9"/>
      <c r="G26" s="9"/>
      <c r="H26" s="9"/>
    </row>
    <row r="27" spans="1:8" x14ac:dyDescent="0.3">
      <c r="A27" s="15"/>
      <c r="B27" s="16" t="s">
        <v>29</v>
      </c>
      <c r="C27" s="8" t="s">
        <v>30</v>
      </c>
      <c r="D27" s="8"/>
      <c r="E27" s="8"/>
      <c r="F27" s="8"/>
    </row>
    <row r="28" spans="1:8" x14ac:dyDescent="0.3">
      <c r="A28" s="17"/>
      <c r="B28" s="16" t="s">
        <v>31</v>
      </c>
      <c r="C28" s="8" t="s">
        <v>32</v>
      </c>
      <c r="D28" s="8"/>
      <c r="E28" s="8"/>
      <c r="F28" s="8"/>
    </row>
    <row r="29" spans="1:8" x14ac:dyDescent="0.3">
      <c r="A29" s="18"/>
      <c r="B29" s="16" t="s">
        <v>33</v>
      </c>
      <c r="C29" s="8" t="s">
        <v>34</v>
      </c>
      <c r="D29" s="8"/>
      <c r="E29" s="8"/>
      <c r="F29" s="8"/>
    </row>
    <row r="30" spans="1:8" x14ac:dyDescent="0.3">
      <c r="A30" s="19"/>
      <c r="B30" s="16" t="s">
        <v>35</v>
      </c>
      <c r="C30" s="8" t="s">
        <v>36</v>
      </c>
      <c r="D30" s="8"/>
      <c r="E30" s="8"/>
      <c r="F30" s="8"/>
    </row>
    <row r="31" spans="1:8" x14ac:dyDescent="0.3">
      <c r="A31" s="20"/>
      <c r="B31" s="16" t="s">
        <v>37</v>
      </c>
      <c r="C31" s="8" t="s">
        <v>38</v>
      </c>
      <c r="D31" s="8"/>
      <c r="E31" s="8"/>
      <c r="F31" s="8"/>
    </row>
  </sheetData>
  <mergeCells count="30">
    <mergeCell ref="C29:F29"/>
    <mergeCell ref="C30:F30"/>
    <mergeCell ref="C31:F31"/>
    <mergeCell ref="A23:H23"/>
    <mergeCell ref="A24:H24"/>
    <mergeCell ref="A26:H26"/>
    <mergeCell ref="C27:F27"/>
    <mergeCell ref="C28:F28"/>
    <mergeCell ref="A18:H18"/>
    <mergeCell ref="A19:H19"/>
    <mergeCell ref="A20:H20"/>
    <mergeCell ref="A21:H21"/>
    <mergeCell ref="A22:H22"/>
    <mergeCell ref="A14:B14"/>
    <mergeCell ref="C14:H14"/>
    <mergeCell ref="A15:B15"/>
    <mergeCell ref="C15:H15"/>
    <mergeCell ref="A16:B16"/>
    <mergeCell ref="C16:H16"/>
    <mergeCell ref="A11:H11"/>
    <mergeCell ref="A12:B12"/>
    <mergeCell ref="C12:H12"/>
    <mergeCell ref="A13:B13"/>
    <mergeCell ref="C13:H13"/>
    <mergeCell ref="A1:H1"/>
    <mergeCell ref="A2:H2"/>
    <mergeCell ref="A4:H4"/>
    <mergeCell ref="A8:H8"/>
    <mergeCell ref="A9:D9"/>
    <mergeCell ref="E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"/>
  <sheetViews>
    <sheetView showGridLines="0" topLeftCell="A67" zoomScaleNormal="100" workbookViewId="0">
      <selection sqref="A1:P1"/>
    </sheetView>
  </sheetViews>
  <sheetFormatPr defaultColWidth="8.6640625" defaultRowHeight="14.4" x14ac:dyDescent="0.3"/>
  <sheetData>
    <row r="1" spans="1:16" ht="30" customHeight="1" x14ac:dyDescent="0.3">
      <c r="A1" s="11" t="s">
        <v>39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8"/>
  <sheetViews>
    <sheetView topLeftCell="A56" zoomScaleNormal="100" workbookViewId="0">
      <selection sqref="A1:H1"/>
    </sheetView>
  </sheetViews>
  <sheetFormatPr defaultColWidth="8.6640625" defaultRowHeight="14.4" x14ac:dyDescent="0.3"/>
  <cols>
    <col min="1" max="1" width="18" customWidth="1"/>
    <col min="2" max="2" width="12" customWidth="1"/>
    <col min="3" max="3" width="18" customWidth="1"/>
    <col min="4" max="4" width="20" customWidth="1"/>
    <col min="5" max="5" width="12" customWidth="1"/>
    <col min="7" max="7" width="12" customWidth="1"/>
  </cols>
  <sheetData>
    <row r="1" spans="1:8" ht="25.5" customHeight="1" x14ac:dyDescent="0.3">
      <c r="A1" s="3" t="s">
        <v>40</v>
      </c>
      <c r="B1" s="3"/>
      <c r="C1" s="3"/>
      <c r="D1" s="3"/>
      <c r="E1" s="3"/>
      <c r="F1" s="3"/>
      <c r="G1" s="3"/>
      <c r="H1" s="3"/>
    </row>
    <row r="2" spans="1:8" x14ac:dyDescent="0.3">
      <c r="A2" s="2" t="s">
        <v>41</v>
      </c>
      <c r="B2" s="2"/>
      <c r="C2" s="2"/>
      <c r="D2" s="2"/>
      <c r="E2" s="2"/>
      <c r="F2" s="2"/>
      <c r="G2" s="2"/>
      <c r="H2" s="2"/>
    </row>
    <row r="4" spans="1:8" x14ac:dyDescent="0.3">
      <c r="A4" s="21" t="s">
        <v>42</v>
      </c>
      <c r="C4" s="21" t="s">
        <v>43</v>
      </c>
      <c r="E4" s="21" t="s">
        <v>44</v>
      </c>
    </row>
    <row r="5" spans="1:8" ht="21" x14ac:dyDescent="0.4">
      <c r="A5" s="22">
        <f>COUNTA(CUSTOMERS!$A$2:$A$61)</f>
        <v>60</v>
      </c>
      <c r="C5" s="22">
        <f>SUMPRODUCT(1/COUNTIF(CUSTOMERS!$F$2:$F$61,CUSTOMERS!$F$2:$F$61))</f>
        <v>24</v>
      </c>
      <c r="E5" s="22">
        <f>SUMPRODUCT(1/COUNTIF(CUSTOMERS!$H$2:$H$61,CUSTOMERS!$H$2:$H$61))</f>
        <v>25.000000000000007</v>
      </c>
    </row>
    <row r="7" spans="1:8" ht="19.5" customHeight="1" x14ac:dyDescent="0.3">
      <c r="A7" s="1" t="s">
        <v>45</v>
      </c>
      <c r="B7" s="1"/>
      <c r="D7" s="1" t="s">
        <v>46</v>
      </c>
      <c r="E7" s="1"/>
      <c r="G7" s="1" t="s">
        <v>47</v>
      </c>
      <c r="H7" s="1"/>
    </row>
    <row r="8" spans="1:8" ht="21.75" customHeight="1" x14ac:dyDescent="0.3">
      <c r="A8" s="23" t="s">
        <v>48</v>
      </c>
      <c r="B8" s="23" t="s">
        <v>2</v>
      </c>
      <c r="D8" s="23" t="s">
        <v>49</v>
      </c>
      <c r="E8" s="23" t="s">
        <v>2</v>
      </c>
      <c r="G8" s="23" t="s">
        <v>50</v>
      </c>
      <c r="H8" s="23" t="s">
        <v>51</v>
      </c>
    </row>
    <row r="9" spans="1:8" x14ac:dyDescent="0.3">
      <c r="A9" s="24" t="s">
        <v>52</v>
      </c>
      <c r="B9" s="25">
        <f>COUNTIF(CUSTOMERS!$F$2:$F$61,A9)</f>
        <v>6</v>
      </c>
      <c r="D9" s="24" t="s">
        <v>53</v>
      </c>
      <c r="E9" s="25">
        <f>COUNTIF(CUSTOMERS!$H$2:$H$61,11)</f>
        <v>3</v>
      </c>
      <c r="G9" s="26" t="s">
        <v>54</v>
      </c>
      <c r="H9" s="25">
        <f>COUNTIFS(CUSTOMERS!$G$2:$G$61,"&gt;="&amp;DATE(2017,8,1),CUSTOMERS!$G$2:$G$61,"&lt;"&amp;DATE(2017,9,1))</f>
        <v>1</v>
      </c>
    </row>
    <row r="10" spans="1:8" x14ac:dyDescent="0.3">
      <c r="A10" s="24" t="s">
        <v>55</v>
      </c>
      <c r="B10" s="25">
        <f>COUNTIF(CUSTOMERS!$F$2:$F$61,A10)</f>
        <v>4</v>
      </c>
      <c r="D10" s="24" t="s">
        <v>56</v>
      </c>
      <c r="E10" s="25">
        <f>COUNTIF(CUSTOMERS!$H$2:$H$61,8)</f>
        <v>4</v>
      </c>
      <c r="G10" s="26" t="s">
        <v>57</v>
      </c>
      <c r="H10" s="25">
        <f>COUNTIFS(CUSTOMERS!$G$2:$G$61,"&gt;="&amp;DATE(2018,3,1),CUSTOMERS!$G$2:$G$61,"&lt;"&amp;DATE(2018,4,1))</f>
        <v>1</v>
      </c>
    </row>
    <row r="11" spans="1:8" x14ac:dyDescent="0.3">
      <c r="A11" s="24" t="s">
        <v>58</v>
      </c>
      <c r="B11" s="25">
        <f>COUNTIF(CUSTOMERS!$F$2:$F$61,A11)</f>
        <v>4</v>
      </c>
      <c r="D11" s="24" t="s">
        <v>59</v>
      </c>
      <c r="E11" s="25">
        <f>COUNTIF(CUSTOMERS!$H$2:$H$61,4)</f>
        <v>3</v>
      </c>
      <c r="G11" s="26" t="s">
        <v>60</v>
      </c>
      <c r="H11" s="25">
        <f>COUNTIFS(CUSTOMERS!$G$2:$G$61,"&gt;="&amp;DATE(2018,5,1),CUSTOMERS!$G$2:$G$61,"&lt;"&amp;DATE(2018,6,1))</f>
        <v>1</v>
      </c>
    </row>
    <row r="12" spans="1:8" x14ac:dyDescent="0.3">
      <c r="A12" s="24" t="s">
        <v>61</v>
      </c>
      <c r="B12" s="25">
        <f>COUNTIF(CUSTOMERS!$F$2:$F$61,A12)</f>
        <v>4</v>
      </c>
      <c r="D12" s="24" t="s">
        <v>62</v>
      </c>
      <c r="E12" s="25">
        <f>COUNTIF(CUSTOMERS!$H$2:$H$61,6)</f>
        <v>4</v>
      </c>
      <c r="G12" s="26" t="s">
        <v>63</v>
      </c>
      <c r="H12" s="25">
        <f>COUNTIFS(CUSTOMERS!$G$2:$G$61,"&gt;="&amp;DATE(2018,6,1),CUSTOMERS!$G$2:$G$61,"&lt;"&amp;DATE(2018,7,1))</f>
        <v>1</v>
      </c>
    </row>
    <row r="13" spans="1:8" x14ac:dyDescent="0.3">
      <c r="A13" s="24" t="s">
        <v>64</v>
      </c>
      <c r="B13" s="25">
        <f>COUNTIF(CUSTOMERS!$F$2:$F$61,A13)</f>
        <v>4</v>
      </c>
      <c r="D13" s="24" t="s">
        <v>65</v>
      </c>
      <c r="E13" s="25">
        <f>COUNTIF(CUSTOMERS!$H$2:$H$61,9)</f>
        <v>4</v>
      </c>
      <c r="G13" s="26" t="s">
        <v>66</v>
      </c>
      <c r="H13" s="25">
        <f>COUNTIFS(CUSTOMERS!$G$2:$G$61,"&gt;="&amp;DATE(2018,7,1),CUSTOMERS!$G$2:$G$61,"&lt;"&amp;DATE(2018,8,1))</f>
        <v>1</v>
      </c>
    </row>
    <row r="14" spans="1:8" x14ac:dyDescent="0.3">
      <c r="A14" s="24" t="s">
        <v>67</v>
      </c>
      <c r="B14" s="25">
        <f>COUNTIF(CUSTOMERS!$F$2:$F$61,A14)</f>
        <v>4</v>
      </c>
      <c r="D14" s="24" t="s">
        <v>68</v>
      </c>
      <c r="E14" s="25">
        <f>COUNTIF(CUSTOMERS!$H$2:$H$61,14)</f>
        <v>3</v>
      </c>
      <c r="G14" s="26" t="s">
        <v>69</v>
      </c>
      <c r="H14" s="25">
        <f>COUNTIFS(CUSTOMERS!$G$2:$G$61,"&gt;="&amp;DATE(2018,8,1),CUSTOMERS!$G$2:$G$61,"&lt;"&amp;DATE(2018,9,1))</f>
        <v>1</v>
      </c>
    </row>
    <row r="15" spans="1:8" x14ac:dyDescent="0.3">
      <c r="A15" s="24" t="s">
        <v>70</v>
      </c>
      <c r="B15" s="25">
        <f>COUNTIF(CUSTOMERS!$F$2:$F$61,A15)</f>
        <v>3</v>
      </c>
      <c r="D15" s="24" t="s">
        <v>71</v>
      </c>
      <c r="E15" s="25">
        <f>COUNTIF(CUSTOMERS!$H$2:$H$61,12)</f>
        <v>3</v>
      </c>
      <c r="G15" s="26" t="s">
        <v>72</v>
      </c>
      <c r="H15" s="25">
        <f>COUNTIFS(CUSTOMERS!$G$2:$G$61,"&gt;="&amp;DATE(2018,11,1),CUSTOMERS!$G$2:$G$61,"&lt;"&amp;DATE(2018,12,1))</f>
        <v>1</v>
      </c>
    </row>
    <row r="16" spans="1:8" x14ac:dyDescent="0.3">
      <c r="A16" s="24" t="s">
        <v>73</v>
      </c>
      <c r="B16" s="25">
        <f>COUNTIF(CUSTOMERS!$F$2:$F$61,A16)</f>
        <v>3</v>
      </c>
      <c r="D16" s="24" t="s">
        <v>74</v>
      </c>
      <c r="E16" s="25">
        <f>COUNTIF(CUSTOMERS!$H$2:$H$61,32)</f>
        <v>1</v>
      </c>
      <c r="G16" s="26" t="s">
        <v>75</v>
      </c>
      <c r="H16" s="25">
        <f>COUNTIFS(CUSTOMERS!$G$2:$G$61,"&gt;="&amp;DATE(2018,12,1),CUSTOMERS!$G$2:$G$61,"&lt;"&amp;DATE(2019,1,1))</f>
        <v>1</v>
      </c>
    </row>
    <row r="17" spans="1:8" x14ac:dyDescent="0.3">
      <c r="A17" s="24" t="s">
        <v>76</v>
      </c>
      <c r="B17" s="25">
        <f>COUNTIF(CUSTOMERS!$F$2:$F$61,A17)</f>
        <v>3</v>
      </c>
      <c r="D17" s="24" t="s">
        <v>77</v>
      </c>
      <c r="E17" s="25">
        <f>COUNTIF(CUSTOMERS!$H$2:$H$61,2)</f>
        <v>3</v>
      </c>
      <c r="G17" s="26" t="s">
        <v>78</v>
      </c>
      <c r="H17" s="25">
        <f>COUNTIFS(CUSTOMERS!$G$2:$G$61,"&gt;="&amp;DATE(2019,1,1),CUSTOMERS!$G$2:$G$61,"&lt;"&amp;DATE(2019,2,1))</f>
        <v>1</v>
      </c>
    </row>
    <row r="18" spans="1:8" x14ac:dyDescent="0.3">
      <c r="A18" s="24" t="s">
        <v>79</v>
      </c>
      <c r="B18" s="25">
        <f>COUNTIF(CUSTOMERS!$F$2:$F$61,A18)</f>
        <v>3</v>
      </c>
      <c r="D18" s="24" t="s">
        <v>80</v>
      </c>
      <c r="E18" s="25">
        <f>COUNTIF(CUSTOMERS!$H$2:$H$61,7)</f>
        <v>4</v>
      </c>
      <c r="G18" s="26" t="s">
        <v>81</v>
      </c>
      <c r="H18" s="25">
        <f>COUNTIFS(CUSTOMERS!$G$2:$G$61,"&gt;="&amp;DATE(2019,2,1),CUSTOMERS!$G$2:$G$61,"&lt;"&amp;DATE(2019,3,1))</f>
        <v>1</v>
      </c>
    </row>
    <row r="19" spans="1:8" x14ac:dyDescent="0.3">
      <c r="A19" s="24" t="s">
        <v>82</v>
      </c>
      <c r="B19" s="25">
        <f>COUNTIF(CUSTOMERS!$F$2:$F$61,A19)</f>
        <v>3</v>
      </c>
      <c r="D19" s="24" t="s">
        <v>83</v>
      </c>
      <c r="E19" s="25">
        <f>COUNTIF(CUSTOMERS!$H$2:$H$61,1)</f>
        <v>3</v>
      </c>
      <c r="G19" s="26" t="s">
        <v>84</v>
      </c>
      <c r="H19" s="25">
        <f>COUNTIFS(CUSTOMERS!$G$2:$G$61,"&gt;="&amp;DATE(2019,3,1),CUSTOMERS!$G$2:$G$61,"&lt;"&amp;DATE(2019,4,1))</f>
        <v>1</v>
      </c>
    </row>
    <row r="20" spans="1:8" x14ac:dyDescent="0.3">
      <c r="A20" s="24" t="s">
        <v>85</v>
      </c>
      <c r="B20" s="25">
        <f>COUNTIF(CUSTOMERS!$F$2:$F$61,A20)</f>
        <v>3</v>
      </c>
      <c r="D20" s="24" t="s">
        <v>86</v>
      </c>
      <c r="E20" s="25">
        <f>COUNTIF(CUSTOMERS!$H$2:$H$61,13)</f>
        <v>3</v>
      </c>
      <c r="G20" s="26" t="s">
        <v>87</v>
      </c>
      <c r="H20" s="25">
        <f>COUNTIFS(CUSTOMERS!$G$2:$G$61,"&gt;="&amp;DATE(2019,4,1),CUSTOMERS!$G$2:$G$61,"&lt;"&amp;DATE(2019,5,1))</f>
        <v>2</v>
      </c>
    </row>
    <row r="21" spans="1:8" x14ac:dyDescent="0.3">
      <c r="A21" s="24" t="s">
        <v>88</v>
      </c>
      <c r="B21" s="25">
        <f>COUNTIF(CUSTOMERS!$F$2:$F$61,A21)</f>
        <v>3</v>
      </c>
      <c r="D21" s="24" t="s">
        <v>89</v>
      </c>
      <c r="E21" s="25">
        <f>COUNTIF(CUSTOMERS!$H$2:$H$61,35)</f>
        <v>1</v>
      </c>
      <c r="G21" s="26" t="s">
        <v>90</v>
      </c>
      <c r="H21" s="25">
        <f>COUNTIFS(CUSTOMERS!$G$2:$G$61,"&gt;="&amp;DATE(2019,7,1),CUSTOMERS!$G$2:$G$61,"&lt;"&amp;DATE(2019,8,1))</f>
        <v>1</v>
      </c>
    </row>
    <row r="22" spans="1:8" x14ac:dyDescent="0.3">
      <c r="A22" s="24" t="s">
        <v>91</v>
      </c>
      <c r="B22" s="25">
        <f>COUNTIF(CUSTOMERS!$F$2:$F$61,A22)</f>
        <v>3</v>
      </c>
      <c r="D22" s="24" t="s">
        <v>92</v>
      </c>
      <c r="E22" s="25">
        <f>COUNTIF(CUSTOMERS!$H$2:$H$61,38)</f>
        <v>1</v>
      </c>
      <c r="G22" s="26" t="s">
        <v>93</v>
      </c>
      <c r="H22" s="25">
        <f>COUNTIFS(CUSTOMERS!$G$2:$G$61,"&gt;="&amp;DATE(2019,9,1),CUSTOMERS!$G$2:$G$61,"&lt;"&amp;DATE(2019,10,1))</f>
        <v>1</v>
      </c>
    </row>
    <row r="23" spans="1:8" x14ac:dyDescent="0.3">
      <c r="A23" s="24" t="s">
        <v>94</v>
      </c>
      <c r="B23" s="25">
        <f>COUNTIF(CUSTOMERS!$F$2:$F$61,A23)</f>
        <v>1</v>
      </c>
      <c r="D23" s="24" t="s">
        <v>95</v>
      </c>
      <c r="E23" s="25">
        <f>COUNTIF(CUSTOMERS!$H$2:$H$61,3)</f>
        <v>3</v>
      </c>
      <c r="G23" s="26" t="s">
        <v>96</v>
      </c>
      <c r="H23" s="25">
        <f>COUNTIFS(CUSTOMERS!$G$2:$G$61,"&gt;="&amp;DATE(2019,10,1),CUSTOMERS!$G$2:$G$61,"&lt;"&amp;DATE(2019,11,1))</f>
        <v>2</v>
      </c>
    </row>
    <row r="24" spans="1:8" x14ac:dyDescent="0.3">
      <c r="A24" s="24" t="s">
        <v>97</v>
      </c>
      <c r="B24" s="25">
        <f>COUNTIF(CUSTOMERS!$F$2:$F$61,A24)</f>
        <v>1</v>
      </c>
      <c r="D24" s="24" t="s">
        <v>98</v>
      </c>
      <c r="E24" s="25">
        <f>COUNTIF(CUSTOMERS!$H$2:$H$61,30)</f>
        <v>1</v>
      </c>
      <c r="G24" s="26" t="s">
        <v>99</v>
      </c>
      <c r="H24" s="25">
        <f>COUNTIFS(CUSTOMERS!$G$2:$G$61,"&gt;="&amp;DATE(2019,11,1),CUSTOMERS!$G$2:$G$61,"&lt;"&amp;DATE(2019,12,1))</f>
        <v>1</v>
      </c>
    </row>
    <row r="25" spans="1:8" x14ac:dyDescent="0.3">
      <c r="A25" s="24" t="s">
        <v>100</v>
      </c>
      <c r="B25" s="25">
        <f>COUNTIF(CUSTOMERS!$F$2:$F$61,A25)</f>
        <v>1</v>
      </c>
      <c r="D25" s="24" t="s">
        <v>101</v>
      </c>
      <c r="E25" s="25">
        <f>COUNTIF(CUSTOMERS!$H$2:$H$61,15)</f>
        <v>3</v>
      </c>
      <c r="G25" s="26" t="s">
        <v>102</v>
      </c>
      <c r="H25" s="25">
        <f>COUNTIFS(CUSTOMERS!$G$2:$G$61,"&gt;="&amp;DATE(2019,12,1),CUSTOMERS!$G$2:$G$61,"&lt;"&amp;DATE(2020,1,1))</f>
        <v>1</v>
      </c>
    </row>
    <row r="26" spans="1:8" x14ac:dyDescent="0.3">
      <c r="A26" s="24" t="s">
        <v>103</v>
      </c>
      <c r="B26" s="25">
        <f>COUNTIF(CUSTOMERS!$F$2:$F$61,A26)</f>
        <v>1</v>
      </c>
      <c r="D26" s="24" t="s">
        <v>104</v>
      </c>
      <c r="E26" s="25">
        <f>COUNTIF(CUSTOMERS!$H$2:$H$61,10)</f>
        <v>4</v>
      </c>
      <c r="G26" s="26" t="s">
        <v>105</v>
      </c>
      <c r="H26" s="25">
        <f>COUNTIFS(CUSTOMERS!$G$2:$G$61,"&gt;="&amp;DATE(2020,1,1),CUSTOMERS!$G$2:$G$61,"&lt;"&amp;DATE(2020,2,1))</f>
        <v>1</v>
      </c>
    </row>
    <row r="27" spans="1:8" x14ac:dyDescent="0.3">
      <c r="A27" s="24" t="s">
        <v>106</v>
      </c>
      <c r="B27" s="25">
        <f>COUNTIF(CUSTOMERS!$F$2:$F$61,A27)</f>
        <v>1</v>
      </c>
      <c r="D27" s="24" t="s">
        <v>68</v>
      </c>
      <c r="E27" s="25">
        <f>COUNTIF(CUSTOMERS!$H$2:$H$61,34)</f>
        <v>1</v>
      </c>
      <c r="G27" s="26" t="s">
        <v>107</v>
      </c>
      <c r="H27" s="25">
        <f>COUNTIFS(CUSTOMERS!$G$2:$G$61,"&gt;="&amp;DATE(2020,2,1),CUSTOMERS!$G$2:$G$61,"&lt;"&amp;DATE(2020,3,1))</f>
        <v>1</v>
      </c>
    </row>
    <row r="28" spans="1:8" x14ac:dyDescent="0.3">
      <c r="A28" s="24" t="s">
        <v>108</v>
      </c>
      <c r="B28" s="25">
        <f>COUNTIF(CUSTOMERS!$F$2:$F$61,A28)</f>
        <v>1</v>
      </c>
      <c r="D28" s="24" t="s">
        <v>109</v>
      </c>
      <c r="E28" s="25">
        <f>COUNTIF(CUSTOMERS!$H$2:$H$61,31)</f>
        <v>1</v>
      </c>
      <c r="G28" s="26" t="s">
        <v>110</v>
      </c>
      <c r="H28" s="25">
        <f>COUNTIFS(CUSTOMERS!$G$2:$G$61,"&gt;="&amp;DATE(2020,3,1),CUSTOMERS!$G$2:$G$61,"&lt;"&amp;DATE(2020,4,1))</f>
        <v>1</v>
      </c>
    </row>
    <row r="29" spans="1:8" x14ac:dyDescent="0.3">
      <c r="A29" s="24" t="s">
        <v>111</v>
      </c>
      <c r="B29" s="25">
        <f>COUNTIF(CUSTOMERS!$F$2:$F$61,A29)</f>
        <v>1</v>
      </c>
      <c r="D29" s="24" t="s">
        <v>112</v>
      </c>
      <c r="E29" s="25">
        <f>COUNTIF(CUSTOMERS!$H$2:$H$61,37)</f>
        <v>1</v>
      </c>
      <c r="G29" s="26" t="s">
        <v>113</v>
      </c>
      <c r="H29" s="25">
        <f>COUNTIFS(CUSTOMERS!$G$2:$G$61,"&gt;="&amp;DATE(2020,4,1),CUSTOMERS!$G$2:$G$61,"&lt;"&amp;DATE(2020,5,1))</f>
        <v>1</v>
      </c>
    </row>
    <row r="30" spans="1:8" x14ac:dyDescent="0.3">
      <c r="A30" s="24" t="s">
        <v>114</v>
      </c>
      <c r="B30" s="25">
        <f>COUNTIF(CUSTOMERS!$F$2:$F$61,A30)</f>
        <v>1</v>
      </c>
      <c r="D30" s="24" t="s">
        <v>115</v>
      </c>
      <c r="E30" s="25">
        <f>COUNTIF(CUSTOMERS!$H$2:$H$61,33)</f>
        <v>1</v>
      </c>
      <c r="G30" s="26" t="s">
        <v>116</v>
      </c>
      <c r="H30" s="25">
        <f>COUNTIFS(CUSTOMERS!$G$2:$G$61,"&gt;="&amp;DATE(2020,5,1),CUSTOMERS!$G$2:$G$61,"&lt;"&amp;DATE(2020,6,1))</f>
        <v>1</v>
      </c>
    </row>
    <row r="31" spans="1:8" x14ac:dyDescent="0.3">
      <c r="A31" s="24" t="s">
        <v>117</v>
      </c>
      <c r="B31" s="25">
        <f>COUNTIF(CUSTOMERS!$F$2:$F$61,A31)</f>
        <v>1</v>
      </c>
      <c r="D31" s="24" t="s">
        <v>89</v>
      </c>
      <c r="E31" s="25">
        <f>COUNTIF(CUSTOMERS!$H$2:$H$61,39)</f>
        <v>1</v>
      </c>
      <c r="G31" s="26" t="s">
        <v>118</v>
      </c>
      <c r="H31" s="25">
        <f>COUNTIFS(CUSTOMERS!$G$2:$G$61,"&gt;="&amp;DATE(2020,6,1),CUSTOMERS!$G$2:$G$61,"&lt;"&amp;DATE(2020,7,1))</f>
        <v>2</v>
      </c>
    </row>
    <row r="32" spans="1:8" x14ac:dyDescent="0.3">
      <c r="A32" s="24" t="s">
        <v>119</v>
      </c>
      <c r="B32" s="25">
        <f>COUNTIF(CUSTOMERS!$F$2:$F$61,A32)</f>
        <v>1</v>
      </c>
      <c r="D32" s="24" t="s">
        <v>120</v>
      </c>
      <c r="E32" s="25">
        <f>COUNTIF(CUSTOMERS!$H$2:$H$61,36)</f>
        <v>1</v>
      </c>
      <c r="G32" s="26" t="s">
        <v>121</v>
      </c>
      <c r="H32" s="25">
        <f>COUNTIFS(CUSTOMERS!$G$2:$G$61,"&gt;="&amp;DATE(2020,7,1),CUSTOMERS!$G$2:$G$61,"&lt;"&amp;DATE(2020,8,1))</f>
        <v>1</v>
      </c>
    </row>
    <row r="33" spans="4:8" x14ac:dyDescent="0.3">
      <c r="D33" s="24" t="s">
        <v>122</v>
      </c>
      <c r="E33" s="25">
        <f>COUNTIF(CUSTOMERS!$H$2:$H$61,5)</f>
        <v>3</v>
      </c>
      <c r="G33" s="26" t="s">
        <v>123</v>
      </c>
      <c r="H33" s="25">
        <f>COUNTIFS(CUSTOMERS!$G$2:$G$61,"&gt;="&amp;DATE(2020,8,1),CUSTOMERS!$G$2:$G$61,"&lt;"&amp;DATE(2020,9,1))</f>
        <v>1</v>
      </c>
    </row>
    <row r="34" spans="4:8" x14ac:dyDescent="0.3">
      <c r="D34" s="24" t="s">
        <v>124</v>
      </c>
      <c r="E34" s="25">
        <f>COUNTIF(CUSTOMERS!$H$2:$H$61,16)</f>
        <v>0</v>
      </c>
      <c r="G34" s="26" t="s">
        <v>125</v>
      </c>
      <c r="H34" s="25">
        <f>COUNTIFS(CUSTOMERS!$G$2:$G$61,"&gt;="&amp;DATE(2020,9,1),CUSTOMERS!$G$2:$G$61,"&lt;"&amp;DATE(2020,10,1))</f>
        <v>2</v>
      </c>
    </row>
    <row r="35" spans="4:8" x14ac:dyDescent="0.3">
      <c r="D35" s="24" t="s">
        <v>126</v>
      </c>
      <c r="E35" s="25">
        <f>COUNTIF(CUSTOMERS!$H$2:$H$61,17)</f>
        <v>0</v>
      </c>
      <c r="G35" s="26" t="s">
        <v>127</v>
      </c>
      <c r="H35" s="25">
        <f>COUNTIFS(CUSTOMERS!$G$2:$G$61,"&gt;="&amp;DATE(2020,10,1),CUSTOMERS!$G$2:$G$61,"&lt;"&amp;DATE(2020,11,1))</f>
        <v>1</v>
      </c>
    </row>
    <row r="36" spans="4:8" x14ac:dyDescent="0.3">
      <c r="D36" s="24" t="s">
        <v>128</v>
      </c>
      <c r="E36" s="25">
        <f>COUNTIF(CUSTOMERS!$H$2:$H$61,18)</f>
        <v>0</v>
      </c>
      <c r="G36" s="26" t="s">
        <v>129</v>
      </c>
      <c r="H36" s="25">
        <f>COUNTIFS(CUSTOMERS!$G$2:$G$61,"&gt;="&amp;DATE(2020,11,1),CUSTOMERS!$G$2:$G$61,"&lt;"&amp;DATE(2020,12,1))</f>
        <v>2</v>
      </c>
    </row>
    <row r="37" spans="4:8" x14ac:dyDescent="0.3">
      <c r="D37" s="24" t="s">
        <v>130</v>
      </c>
      <c r="E37" s="25">
        <f>COUNTIF(CUSTOMERS!$H$2:$H$61,19)</f>
        <v>0</v>
      </c>
      <c r="G37" s="26" t="s">
        <v>131</v>
      </c>
      <c r="H37" s="25">
        <f>COUNTIFS(CUSTOMERS!$G$2:$G$61,"&gt;="&amp;DATE(2021,1,1),CUSTOMERS!$G$2:$G$61,"&lt;"&amp;DATE(2021,2,1))</f>
        <v>1</v>
      </c>
    </row>
    <row r="38" spans="4:8" x14ac:dyDescent="0.3">
      <c r="D38" s="24" t="s">
        <v>132</v>
      </c>
      <c r="E38" s="25">
        <f>COUNTIF(CUSTOMERS!$H$2:$H$61,20)</f>
        <v>0</v>
      </c>
      <c r="G38" s="26" t="s">
        <v>133</v>
      </c>
      <c r="H38" s="25">
        <f>COUNTIFS(CUSTOMERS!$G$2:$G$61,"&gt;="&amp;DATE(2021,2,1),CUSTOMERS!$G$2:$G$61,"&lt;"&amp;DATE(2021,3,1))</f>
        <v>1</v>
      </c>
    </row>
    <row r="39" spans="4:8" x14ac:dyDescent="0.3">
      <c r="D39" s="24" t="s">
        <v>89</v>
      </c>
      <c r="E39" s="25">
        <f>COUNTIF(CUSTOMERS!$H$2:$H$61,21)</f>
        <v>0</v>
      </c>
      <c r="G39" s="26" t="s">
        <v>134</v>
      </c>
      <c r="H39" s="25">
        <f>COUNTIFS(CUSTOMERS!$G$2:$G$61,"&gt;="&amp;DATE(2021,3,1),CUSTOMERS!$G$2:$G$61,"&lt;"&amp;DATE(2021,4,1))</f>
        <v>2</v>
      </c>
    </row>
    <row r="40" spans="4:8" x14ac:dyDescent="0.3">
      <c r="D40" s="24" t="s">
        <v>135</v>
      </c>
      <c r="E40" s="25">
        <f>COUNTIF(CUSTOMERS!$H$2:$H$61,22)</f>
        <v>0</v>
      </c>
      <c r="G40" s="26" t="s">
        <v>136</v>
      </c>
      <c r="H40" s="25">
        <f>COUNTIFS(CUSTOMERS!$G$2:$G$61,"&gt;="&amp;DATE(2021,5,1),CUSTOMERS!$G$2:$G$61,"&lt;"&amp;DATE(2021,6,1))</f>
        <v>2</v>
      </c>
    </row>
    <row r="41" spans="4:8" x14ac:dyDescent="0.3">
      <c r="D41" s="24" t="s">
        <v>137</v>
      </c>
      <c r="E41" s="25">
        <f>COUNTIF(CUSTOMERS!$H$2:$H$61,23)</f>
        <v>0</v>
      </c>
      <c r="G41" s="26" t="s">
        <v>138</v>
      </c>
      <c r="H41" s="25">
        <f>COUNTIFS(CUSTOMERS!$G$2:$G$61,"&gt;="&amp;DATE(2021,6,1),CUSTOMERS!$G$2:$G$61,"&lt;"&amp;DATE(2021,7,1))</f>
        <v>1</v>
      </c>
    </row>
    <row r="42" spans="4:8" x14ac:dyDescent="0.3">
      <c r="D42" s="24" t="s">
        <v>139</v>
      </c>
      <c r="E42" s="25">
        <f>COUNTIF(CUSTOMERS!$H$2:$H$61,24)</f>
        <v>0</v>
      </c>
      <c r="G42" s="26" t="s">
        <v>140</v>
      </c>
      <c r="H42" s="25">
        <f>COUNTIFS(CUSTOMERS!$G$2:$G$61,"&gt;="&amp;DATE(2021,7,1),CUSTOMERS!$G$2:$G$61,"&lt;"&amp;DATE(2021,8,1))</f>
        <v>2</v>
      </c>
    </row>
    <row r="43" spans="4:8" x14ac:dyDescent="0.3">
      <c r="D43" s="24" t="s">
        <v>141</v>
      </c>
      <c r="E43" s="25">
        <f>COUNTIF(CUSTOMERS!$H$2:$H$61,25)</f>
        <v>0</v>
      </c>
      <c r="G43" s="26" t="s">
        <v>142</v>
      </c>
      <c r="H43" s="25">
        <f>COUNTIFS(CUSTOMERS!$G$2:$G$61,"&gt;="&amp;DATE(2021,8,1),CUSTOMERS!$G$2:$G$61,"&lt;"&amp;DATE(2021,9,1))</f>
        <v>2</v>
      </c>
    </row>
    <row r="44" spans="4:8" x14ac:dyDescent="0.3">
      <c r="D44" s="24" t="s">
        <v>143</v>
      </c>
      <c r="E44" s="25">
        <f>COUNTIF(CUSTOMERS!$H$2:$H$61,26)</f>
        <v>0</v>
      </c>
      <c r="G44" s="26" t="s">
        <v>144</v>
      </c>
      <c r="H44" s="25">
        <f>COUNTIFS(CUSTOMERS!$G$2:$G$61,"&gt;="&amp;DATE(2021,9,1),CUSTOMERS!$G$2:$G$61,"&lt;"&amp;DATE(2021,10,1))</f>
        <v>1</v>
      </c>
    </row>
    <row r="45" spans="4:8" x14ac:dyDescent="0.3">
      <c r="D45" s="24" t="s">
        <v>145</v>
      </c>
      <c r="E45" s="25">
        <f>COUNTIF(CUSTOMERS!$H$2:$H$61,27)</f>
        <v>0</v>
      </c>
      <c r="G45" s="26" t="s">
        <v>146</v>
      </c>
      <c r="H45" s="25">
        <f>COUNTIFS(CUSTOMERS!$G$2:$G$61,"&gt;="&amp;DATE(2021,10,1),CUSTOMERS!$G$2:$G$61,"&lt;"&amp;DATE(2021,11,1))</f>
        <v>1</v>
      </c>
    </row>
    <row r="46" spans="4:8" x14ac:dyDescent="0.3">
      <c r="D46" s="24" t="s">
        <v>147</v>
      </c>
      <c r="E46" s="25">
        <f>COUNTIF(CUSTOMERS!$H$2:$H$61,28)</f>
        <v>0</v>
      </c>
      <c r="G46" s="26" t="s">
        <v>148</v>
      </c>
      <c r="H46" s="25">
        <f>COUNTIFS(CUSTOMERS!$G$2:$G$61,"&gt;="&amp;DATE(2021,12,1),CUSTOMERS!$G$2:$G$61,"&lt;"&amp;DATE(2022,1,1))</f>
        <v>2</v>
      </c>
    </row>
    <row r="47" spans="4:8" x14ac:dyDescent="0.3">
      <c r="D47" s="24" t="s">
        <v>149</v>
      </c>
      <c r="E47" s="25">
        <f>COUNTIF(CUSTOMERS!$H$2:$H$61,29)</f>
        <v>0</v>
      </c>
      <c r="G47" s="26" t="s">
        <v>150</v>
      </c>
      <c r="H47" s="25">
        <f>COUNTIFS(CUSTOMERS!$G$2:$G$61,"&gt;="&amp;DATE(2022,1,1),CUSTOMERS!$G$2:$G$61,"&lt;"&amp;DATE(2022,2,1))</f>
        <v>1</v>
      </c>
    </row>
    <row r="48" spans="4:8" x14ac:dyDescent="0.3">
      <c r="D48" s="24" t="s">
        <v>151</v>
      </c>
      <c r="E48" s="25">
        <f>COUNTIF(CUSTOMERS!$H$2:$H$61,40)</f>
        <v>0</v>
      </c>
      <c r="G48" s="26" t="s">
        <v>152</v>
      </c>
      <c r="H48" s="25">
        <f>COUNTIFS(CUSTOMERS!$G$2:$G$61,"&gt;="&amp;DATE(2022,2,1),CUSTOMERS!$G$2:$G$61,"&lt;"&amp;DATE(2022,3,1))</f>
        <v>2</v>
      </c>
    </row>
    <row r="49" spans="4:8" x14ac:dyDescent="0.3">
      <c r="D49" s="24" t="s">
        <v>153</v>
      </c>
      <c r="E49" s="25">
        <f>COUNTIF(CUSTOMERS!$H$2:$H$61,41)</f>
        <v>0</v>
      </c>
      <c r="G49" s="26" t="s">
        <v>154</v>
      </c>
      <c r="H49" s="25">
        <f>COUNTIFS(CUSTOMERS!$G$2:$G$61,"&gt;="&amp;DATE(2022,3,1),CUSTOMERS!$G$2:$G$61,"&lt;"&amp;DATE(2022,4,1))</f>
        <v>1</v>
      </c>
    </row>
    <row r="50" spans="4:8" x14ac:dyDescent="0.3">
      <c r="D50" s="24" t="s">
        <v>71</v>
      </c>
      <c r="E50" s="25">
        <f>COUNTIF(CUSTOMERS!$H$2:$H$61,42)</f>
        <v>0</v>
      </c>
      <c r="G50" s="26" t="s">
        <v>155</v>
      </c>
      <c r="H50" s="25">
        <f>COUNTIFS(CUSTOMERS!$G$2:$G$61,"&gt;="&amp;DATE(2022,4,1),CUSTOMERS!$G$2:$G$61,"&lt;"&amp;DATE(2022,5,1))</f>
        <v>2</v>
      </c>
    </row>
    <row r="51" spans="4:8" x14ac:dyDescent="0.3">
      <c r="D51" s="24" t="s">
        <v>77</v>
      </c>
      <c r="E51" s="25">
        <f>COUNTIF(CUSTOMERS!$H$2:$H$61,43)</f>
        <v>0</v>
      </c>
      <c r="G51" s="26" t="s">
        <v>156</v>
      </c>
      <c r="H51" s="25">
        <f>COUNTIFS(CUSTOMERS!$G$2:$G$61,"&gt;="&amp;DATE(2022,6,1),CUSTOMERS!$G$2:$G$61,"&lt;"&amp;DATE(2022,7,1))</f>
        <v>1</v>
      </c>
    </row>
    <row r="52" spans="4:8" x14ac:dyDescent="0.3">
      <c r="D52" s="24" t="s">
        <v>157</v>
      </c>
      <c r="E52" s="25">
        <f>COUNTIF(CUSTOMERS!$H$2:$H$61,44)</f>
        <v>0</v>
      </c>
      <c r="G52" s="26" t="s">
        <v>158</v>
      </c>
      <c r="H52" s="25">
        <f>COUNTIFS(CUSTOMERS!$G$2:$G$61,"&gt;="&amp;DATE(2022,7,1),CUSTOMERS!$G$2:$G$61,"&lt;"&amp;DATE(2022,8,1))</f>
        <v>1</v>
      </c>
    </row>
    <row r="53" spans="4:8" x14ac:dyDescent="0.3">
      <c r="D53" s="24" t="s">
        <v>159</v>
      </c>
      <c r="E53" s="25">
        <f>COUNTIF(CUSTOMERS!$H$2:$H$61,45)</f>
        <v>0</v>
      </c>
      <c r="G53" s="26" t="s">
        <v>160</v>
      </c>
      <c r="H53" s="25">
        <f>COUNTIFS(CUSTOMERS!$G$2:$G$61,"&gt;="&amp;DATE(2022,8,1),CUSTOMERS!$G$2:$G$61,"&lt;"&amp;DATE(2022,9,1))</f>
        <v>1</v>
      </c>
    </row>
    <row r="54" spans="4:8" x14ac:dyDescent="0.3">
      <c r="D54" s="24" t="s">
        <v>161</v>
      </c>
      <c r="E54" s="25">
        <f>COUNTIF(CUSTOMERS!$H$2:$H$61,46)</f>
        <v>0</v>
      </c>
      <c r="G54" s="26" t="s">
        <v>162</v>
      </c>
      <c r="H54" s="25">
        <f>COUNTIFS(CUSTOMERS!$G$2:$G$61,"&gt;="&amp;DATE(2022,9,1),CUSTOMERS!$G$2:$G$61,"&lt;"&amp;DATE(2022,10,1))</f>
        <v>1</v>
      </c>
    </row>
    <row r="55" spans="4:8" x14ac:dyDescent="0.3">
      <c r="D55" s="24" t="s">
        <v>163</v>
      </c>
      <c r="E55" s="25">
        <f>COUNTIF(CUSTOMERS!$H$2:$H$61,47)</f>
        <v>0</v>
      </c>
      <c r="G55" s="26" t="s">
        <v>164</v>
      </c>
      <c r="H55" s="25">
        <f>COUNTIFS(CUSTOMERS!$G$2:$G$61,"&gt;="&amp;DATE(2022,11,1),CUSTOMERS!$G$2:$G$61,"&lt;"&amp;DATE(2022,12,1))</f>
        <v>1</v>
      </c>
    </row>
    <row r="56" spans="4:8" x14ac:dyDescent="0.3">
      <c r="D56" s="24" t="s">
        <v>165</v>
      </c>
      <c r="E56" s="25">
        <f>COUNTIF(CUSTOMERS!$H$2:$H$61,48)</f>
        <v>0</v>
      </c>
      <c r="G56" s="26" t="s">
        <v>166</v>
      </c>
      <c r="H56" s="25">
        <f>COUNTIFS(CUSTOMERS!$G$2:$G$61,"&gt;="&amp;DATE(2023,1,1),CUSTOMERS!$G$2:$G$61,"&lt;"&amp;DATE(2023,2,1))</f>
        <v>1</v>
      </c>
    </row>
    <row r="57" spans="4:8" x14ac:dyDescent="0.3">
      <c r="D57" s="24" t="s">
        <v>167</v>
      </c>
      <c r="E57" s="25">
        <f>COUNTIF(CUSTOMERS!$H$2:$H$61,49)</f>
        <v>0</v>
      </c>
    </row>
    <row r="58" spans="4:8" x14ac:dyDescent="0.3">
      <c r="D58" s="24" t="s">
        <v>68</v>
      </c>
      <c r="E58" s="25">
        <f>COUNTIF(CUSTOMERS!$H$2:$H$61,50)</f>
        <v>0</v>
      </c>
    </row>
    <row r="59" spans="4:8" x14ac:dyDescent="0.3">
      <c r="D59" s="24" t="s">
        <v>168</v>
      </c>
      <c r="E59" s="25">
        <f>COUNTIF(CUSTOMERS!$H$2:$H$61,51)</f>
        <v>0</v>
      </c>
    </row>
    <row r="60" spans="4:8" x14ac:dyDescent="0.3">
      <c r="D60" s="24" t="s">
        <v>169</v>
      </c>
      <c r="E60" s="25">
        <f>COUNTIF(CUSTOMERS!$H$2:$H$61,52)</f>
        <v>0</v>
      </c>
    </row>
    <row r="61" spans="4:8" x14ac:dyDescent="0.3">
      <c r="D61" s="24" t="s">
        <v>170</v>
      </c>
      <c r="E61" s="25">
        <f>COUNTIF(CUSTOMERS!$H$2:$H$61,53)</f>
        <v>0</v>
      </c>
    </row>
    <row r="62" spans="4:8" x14ac:dyDescent="0.3">
      <c r="D62" s="24" t="s">
        <v>89</v>
      </c>
      <c r="E62" s="25">
        <f>COUNTIF(CUSTOMERS!$H$2:$H$61,54)</f>
        <v>0</v>
      </c>
    </row>
    <row r="63" spans="4:8" x14ac:dyDescent="0.3">
      <c r="D63" s="24" t="s">
        <v>77</v>
      </c>
      <c r="E63" s="25">
        <f>COUNTIF(CUSTOMERS!$H$2:$H$61,55)</f>
        <v>0</v>
      </c>
    </row>
    <row r="64" spans="4:8" x14ac:dyDescent="0.3">
      <c r="D64" s="24" t="s">
        <v>171</v>
      </c>
      <c r="E64" s="25">
        <f>COUNTIF(CUSTOMERS!$H$2:$H$61,56)</f>
        <v>0</v>
      </c>
    </row>
    <row r="65" spans="4:5" x14ac:dyDescent="0.3">
      <c r="D65" s="24" t="s">
        <v>168</v>
      </c>
      <c r="E65" s="25">
        <f>COUNTIF(CUSTOMERS!$H$2:$H$61,57)</f>
        <v>0</v>
      </c>
    </row>
    <row r="66" spans="4:5" x14ac:dyDescent="0.3">
      <c r="D66" s="24" t="s">
        <v>172</v>
      </c>
      <c r="E66" s="25">
        <f>COUNTIF(CUSTOMERS!$H$2:$H$61,58)</f>
        <v>0</v>
      </c>
    </row>
    <row r="67" spans="4:5" x14ac:dyDescent="0.3">
      <c r="D67" s="24" t="s">
        <v>169</v>
      </c>
      <c r="E67" s="25">
        <f>COUNTIF(CUSTOMERS!$H$2:$H$61,59)</f>
        <v>0</v>
      </c>
    </row>
    <row r="68" spans="4:5" x14ac:dyDescent="0.3">
      <c r="D68" s="24" t="s">
        <v>173</v>
      </c>
      <c r="E68" s="25">
        <f>COUNTIF(CUSTOMERS!$H$2:$H$61,60)</f>
        <v>0</v>
      </c>
    </row>
  </sheetData>
  <mergeCells count="5">
    <mergeCell ref="A1:H1"/>
    <mergeCell ref="A2:H2"/>
    <mergeCell ref="A7:B7"/>
    <mergeCell ref="D7:E7"/>
    <mergeCell ref="G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zoomScaleNormal="100" workbookViewId="0">
      <selection sqref="A1:H1"/>
    </sheetView>
  </sheetViews>
  <sheetFormatPr defaultColWidth="8.6640625" defaultRowHeight="14.4" x14ac:dyDescent="0.3"/>
  <cols>
    <col min="1" max="1" width="13" customWidth="1"/>
    <col min="2" max="2" width="20" customWidth="1"/>
    <col min="3" max="3" width="15" customWidth="1"/>
    <col min="5" max="5" width="20" customWidth="1"/>
    <col min="6" max="6" width="16" customWidth="1"/>
    <col min="7" max="7" width="18" customWidth="1"/>
  </cols>
  <sheetData>
    <row r="1" spans="1:8" ht="25.5" customHeight="1" x14ac:dyDescent="0.3">
      <c r="A1" s="3" t="s">
        <v>174</v>
      </c>
      <c r="B1" s="3"/>
      <c r="C1" s="3"/>
      <c r="D1" s="3"/>
      <c r="E1" s="3"/>
      <c r="F1" s="3"/>
      <c r="G1" s="3"/>
      <c r="H1" s="3"/>
    </row>
    <row r="4" spans="1:8" x14ac:dyDescent="0.3">
      <c r="A4" s="21" t="s">
        <v>175</v>
      </c>
      <c r="C4" s="21" t="s">
        <v>176</v>
      </c>
      <c r="E4" s="21" t="s">
        <v>177</v>
      </c>
      <c r="G4" s="21" t="s">
        <v>178</v>
      </c>
    </row>
    <row r="5" spans="1:8" ht="21" x14ac:dyDescent="0.4">
      <c r="A5" s="22">
        <f>COUNTA(ACCOUNTS!$A$2:$A$83)</f>
        <v>82</v>
      </c>
      <c r="C5" s="22">
        <f>COUNTIF(ACCOUNTS!$F$2:$F$83,"ACTIVE")</f>
        <v>81</v>
      </c>
      <c r="E5" s="27">
        <f>ROUND(AVERAGEIFS(ACCOUNTS!$D$2:$D$83,ACCOUNTS!$F$2:$F$83,"ACTIVE"),2)</f>
        <v>19190.740000000002</v>
      </c>
      <c r="G5" s="28">
        <f>SUM(ACCOUNTS!$D$2:$D$83)</f>
        <v>1554450</v>
      </c>
    </row>
    <row r="7" spans="1:8" ht="19.5" customHeight="1" x14ac:dyDescent="0.3">
      <c r="A7" s="1" t="s">
        <v>179</v>
      </c>
      <c r="B7" s="1"/>
      <c r="E7" s="1" t="s">
        <v>180</v>
      </c>
      <c r="F7" s="1"/>
    </row>
    <row r="8" spans="1:8" ht="21.75" customHeight="1" x14ac:dyDescent="0.3">
      <c r="A8" s="23" t="s">
        <v>181</v>
      </c>
      <c r="B8" s="23" t="s">
        <v>3</v>
      </c>
      <c r="E8" s="23" t="s">
        <v>49</v>
      </c>
      <c r="F8" s="23" t="s">
        <v>4</v>
      </c>
    </row>
    <row r="9" spans="1:8" x14ac:dyDescent="0.3">
      <c r="A9" s="24" t="s">
        <v>176</v>
      </c>
      <c r="B9" s="25">
        <f>COUNTIF(ACCOUNTS!$F$2:$F$83,A9)</f>
        <v>81</v>
      </c>
      <c r="E9" s="24" t="s">
        <v>53</v>
      </c>
      <c r="F9" s="29">
        <f>SUMIF(ACCOUNTS!$G$2:$G$83,11,ACCOUNTS!$D$2:$D$83)</f>
        <v>184700</v>
      </c>
    </row>
    <row r="10" spans="1:8" x14ac:dyDescent="0.3">
      <c r="A10" s="24" t="s">
        <v>182</v>
      </c>
      <c r="B10" s="25">
        <f>COUNTIF(ACCOUNTS!$F$2:$F$83,A10)</f>
        <v>1</v>
      </c>
      <c r="E10" s="24" t="s">
        <v>56</v>
      </c>
      <c r="F10" s="29">
        <f>SUMIF(ACCOUNTS!$G$2:$G$83,8,ACCOUNTS!$D$2:$D$83)</f>
        <v>151000</v>
      </c>
    </row>
    <row r="11" spans="1:8" x14ac:dyDescent="0.3">
      <c r="E11" s="24" t="s">
        <v>59</v>
      </c>
      <c r="F11" s="29">
        <f>SUMIF(ACCOUNTS!$G$2:$G$83,4,ACCOUNTS!$D$2:$D$83)</f>
        <v>126700</v>
      </c>
    </row>
    <row r="12" spans="1:8" ht="19.5" customHeight="1" x14ac:dyDescent="0.3">
      <c r="A12" s="1" t="s">
        <v>183</v>
      </c>
      <c r="B12" s="1"/>
      <c r="C12" s="1"/>
      <c r="E12" s="24" t="s">
        <v>62</v>
      </c>
      <c r="F12" s="29">
        <f>SUMIF(ACCOUNTS!$G$2:$G$83,6,ACCOUNTS!$D$2:$D$83)</f>
        <v>125200</v>
      </c>
    </row>
    <row r="13" spans="1:8" ht="21.75" customHeight="1" x14ac:dyDescent="0.3">
      <c r="A13" s="23" t="s">
        <v>184</v>
      </c>
      <c r="B13" s="23" t="s">
        <v>3</v>
      </c>
      <c r="C13" s="23" t="s">
        <v>4</v>
      </c>
      <c r="E13" s="24" t="s">
        <v>65</v>
      </c>
      <c r="F13" s="29">
        <f>SUMIF(ACCOUNTS!$G$2:$G$83,9,ACCOUNTS!$D$2:$D$83)</f>
        <v>121500</v>
      </c>
    </row>
    <row r="14" spans="1:8" x14ac:dyDescent="0.3">
      <c r="A14" s="24" t="s">
        <v>185</v>
      </c>
      <c r="B14" s="25">
        <f>COUNTIF(ACCOUNTS!$C$2:$C$83,A14)</f>
        <v>45</v>
      </c>
      <c r="C14" s="29">
        <f>SUMIF(ACCOUNTS!$C$2:$C$83,A14,ACCOUNTS!$D$2:$D$83)</f>
        <v>1400000</v>
      </c>
      <c r="E14" s="24" t="s">
        <v>68</v>
      </c>
      <c r="F14" s="29">
        <f>SUMIF(ACCOUNTS!$G$2:$G$83,14,ACCOUNTS!$D$2:$D$83)</f>
        <v>106200</v>
      </c>
    </row>
    <row r="15" spans="1:8" x14ac:dyDescent="0.3">
      <c r="A15" s="24" t="s">
        <v>186</v>
      </c>
      <c r="B15" s="25">
        <f>COUNTIF(ACCOUNTS!$C$2:$C$83,A15)</f>
        <v>37</v>
      </c>
      <c r="C15" s="29">
        <f>SUMIF(ACCOUNTS!$C$2:$C$83,A15,ACCOUNTS!$D$2:$D$83)</f>
        <v>154450</v>
      </c>
      <c r="E15" s="24" t="s">
        <v>71</v>
      </c>
      <c r="F15" s="29">
        <f>SUMIF(ACCOUNTS!$G$2:$G$83,12,ACCOUNTS!$D$2:$D$83)</f>
        <v>86000</v>
      </c>
    </row>
    <row r="16" spans="1:8" x14ac:dyDescent="0.3">
      <c r="E16" s="24" t="s">
        <v>74</v>
      </c>
      <c r="F16" s="29">
        <f>SUMIF(ACCOUNTS!$G$2:$G$83,32,ACCOUNTS!$D$2:$D$83)</f>
        <v>84200</v>
      </c>
    </row>
    <row r="17" spans="1:6" ht="19.5" customHeight="1" x14ac:dyDescent="0.3">
      <c r="A17" s="1" t="s">
        <v>187</v>
      </c>
      <c r="B17" s="1"/>
      <c r="C17" s="1"/>
      <c r="E17" s="24" t="s">
        <v>77</v>
      </c>
      <c r="F17" s="29">
        <f>SUMIF(ACCOUNTS!$G$2:$G$83,2,ACCOUNTS!$D$2:$D$83)</f>
        <v>83600</v>
      </c>
    </row>
    <row r="18" spans="1:6" ht="21.75" customHeight="1" x14ac:dyDescent="0.3">
      <c r="A18" s="23" t="s">
        <v>188</v>
      </c>
      <c r="B18" s="23" t="s">
        <v>189</v>
      </c>
      <c r="C18" s="23" t="s">
        <v>4</v>
      </c>
      <c r="E18" s="24" t="s">
        <v>80</v>
      </c>
      <c r="F18" s="29">
        <f>SUMIF(ACCOUNTS!$G$2:$G$83,7,ACCOUNTS!$D$2:$D$83)</f>
        <v>77200</v>
      </c>
    </row>
    <row r="19" spans="1:6" x14ac:dyDescent="0.3">
      <c r="A19" s="25">
        <v>21</v>
      </c>
      <c r="B19" s="24" t="s">
        <v>190</v>
      </c>
      <c r="C19" s="29">
        <f>SUMIF(ACCOUNTS!$B$2:$B$83,A19,ACCOUNTS!$D$2:$D$83)</f>
        <v>135000</v>
      </c>
      <c r="E19" s="24" t="s">
        <v>83</v>
      </c>
      <c r="F19" s="29">
        <f>SUMIF(ACCOUNTS!$G$2:$G$83,1,ACCOUNTS!$D$2:$D$83)</f>
        <v>53700</v>
      </c>
    </row>
    <row r="20" spans="1:6" x14ac:dyDescent="0.3">
      <c r="A20" s="25">
        <v>15</v>
      </c>
      <c r="B20" s="24" t="s">
        <v>191</v>
      </c>
      <c r="C20" s="29">
        <f>SUMIF(ACCOUNTS!$B$2:$B$83,A20,ACCOUNTS!$D$2:$D$83)</f>
        <v>100500</v>
      </c>
      <c r="E20" s="24" t="s">
        <v>86</v>
      </c>
      <c r="F20" s="29">
        <f>SUMIF(ACCOUNTS!$G$2:$G$83,13,ACCOUNTS!$D$2:$D$83)</f>
        <v>47200</v>
      </c>
    </row>
    <row r="21" spans="1:6" x14ac:dyDescent="0.3">
      <c r="A21" s="25">
        <v>53</v>
      </c>
      <c r="B21" s="24" t="s">
        <v>192</v>
      </c>
      <c r="C21" s="29">
        <f>SUMIF(ACCOUNTS!$B$2:$B$83,A21,ACCOUNTS!$D$2:$D$83)</f>
        <v>84200</v>
      </c>
      <c r="E21" s="24" t="s">
        <v>89</v>
      </c>
      <c r="F21" s="29">
        <f>SUMIF(ACCOUNTS!$G$2:$G$83,35,ACCOUNTS!$D$2:$D$83)</f>
        <v>44000</v>
      </c>
    </row>
    <row r="22" spans="1:6" x14ac:dyDescent="0.3">
      <c r="A22" s="25">
        <v>10</v>
      </c>
      <c r="B22" s="24" t="s">
        <v>193</v>
      </c>
      <c r="C22" s="29">
        <f>SUMIF(ACCOUNTS!$B$2:$B$83,A22,ACCOUNTS!$D$2:$D$83)</f>
        <v>72500</v>
      </c>
      <c r="E22" s="24" t="s">
        <v>92</v>
      </c>
      <c r="F22" s="29">
        <f>SUMIF(ACCOUNTS!$G$2:$G$83,38,ACCOUNTS!$D$2:$D$83)</f>
        <v>42600</v>
      </c>
    </row>
    <row r="23" spans="1:6" x14ac:dyDescent="0.3">
      <c r="A23" s="25">
        <v>34</v>
      </c>
      <c r="B23" s="24" t="s">
        <v>194</v>
      </c>
      <c r="C23" s="29">
        <f>SUMIF(ACCOUNTS!$B$2:$B$83,A23,ACCOUNTS!$D$2:$D$83)</f>
        <v>71000</v>
      </c>
      <c r="E23" s="24" t="s">
        <v>95</v>
      </c>
      <c r="F23" s="29">
        <f>SUMIF(ACCOUNTS!$G$2:$G$83,3,ACCOUNTS!$D$2:$D$83)</f>
        <v>37500</v>
      </c>
    </row>
    <row r="24" spans="1:6" x14ac:dyDescent="0.3">
      <c r="A24" s="25">
        <v>44</v>
      </c>
      <c r="B24" s="24" t="s">
        <v>195</v>
      </c>
      <c r="C24" s="29">
        <f>SUMIF(ACCOUNTS!$B$2:$B$83,A24,ACCOUNTS!$D$2:$D$83)</f>
        <v>66900</v>
      </c>
      <c r="E24" s="24" t="s">
        <v>98</v>
      </c>
      <c r="F24" s="29">
        <f>SUMIF(ACCOUNTS!$G$2:$G$83,30,ACCOUNTS!$D$2:$D$83)</f>
        <v>36800</v>
      </c>
    </row>
    <row r="25" spans="1:6" x14ac:dyDescent="0.3">
      <c r="A25" s="25">
        <v>27</v>
      </c>
      <c r="B25" s="24" t="s">
        <v>196</v>
      </c>
      <c r="C25" s="29">
        <f>SUMIF(ACCOUNTS!$B$2:$B$83,A25,ACCOUNTS!$D$2:$D$83)</f>
        <v>64200</v>
      </c>
      <c r="E25" s="24" t="s">
        <v>101</v>
      </c>
      <c r="F25" s="29">
        <f>SUMIF(ACCOUNTS!$G$2:$G$83,15,ACCOUNTS!$D$2:$D$83)</f>
        <v>34800</v>
      </c>
    </row>
    <row r="26" spans="1:6" x14ac:dyDescent="0.3">
      <c r="A26" s="25">
        <v>13</v>
      </c>
      <c r="B26" s="24" t="s">
        <v>197</v>
      </c>
      <c r="C26" s="29">
        <f>SUMIF(ACCOUNTS!$B$2:$B$83,A26,ACCOUNTS!$D$2:$D$83)</f>
        <v>52200</v>
      </c>
      <c r="E26" s="24" t="s">
        <v>104</v>
      </c>
      <c r="F26" s="29">
        <f>SUMIF(ACCOUNTS!$G$2:$G$83,10,ACCOUNTS!$D$2:$D$83)</f>
        <v>30600</v>
      </c>
    </row>
    <row r="27" spans="1:6" x14ac:dyDescent="0.3">
      <c r="A27" s="25">
        <v>4</v>
      </c>
      <c r="B27" s="24" t="s">
        <v>198</v>
      </c>
      <c r="C27" s="29">
        <f>SUMIF(ACCOUNTS!$B$2:$B$83,A27,ACCOUNTS!$D$2:$D$83)</f>
        <v>50000</v>
      </c>
      <c r="E27" s="24" t="s">
        <v>68</v>
      </c>
      <c r="F27" s="29">
        <f>SUMIF(ACCOUNTS!$G$2:$G$83,34,ACCOUNTS!$D$2:$D$83)</f>
        <v>24400</v>
      </c>
    </row>
    <row r="28" spans="1:6" x14ac:dyDescent="0.3">
      <c r="A28" s="25">
        <v>31</v>
      </c>
      <c r="B28" s="24" t="s">
        <v>199</v>
      </c>
      <c r="C28" s="29">
        <f>SUMIF(ACCOUNTS!$B$2:$B$83,A28,ACCOUNTS!$D$2:$D$83)</f>
        <v>49700</v>
      </c>
      <c r="E28" s="24" t="s">
        <v>109</v>
      </c>
      <c r="F28" s="29">
        <f>SUMIF(ACCOUNTS!$G$2:$G$83,31,ACCOUNTS!$D$2:$D$83)</f>
        <v>15500</v>
      </c>
    </row>
    <row r="29" spans="1:6" x14ac:dyDescent="0.3">
      <c r="E29" s="24" t="s">
        <v>112</v>
      </c>
      <c r="F29" s="29">
        <f>SUMIF(ACCOUNTS!$G$2:$G$83,37,ACCOUNTS!$D$2:$D$83)</f>
        <v>13800</v>
      </c>
    </row>
    <row r="30" spans="1:6" x14ac:dyDescent="0.3">
      <c r="E30" s="24" t="s">
        <v>115</v>
      </c>
      <c r="F30" s="29">
        <f>SUMIF(ACCOUNTS!$G$2:$G$83,33,ACCOUNTS!$D$2:$D$83)</f>
        <v>9300</v>
      </c>
    </row>
    <row r="31" spans="1:6" x14ac:dyDescent="0.3">
      <c r="E31" s="24" t="s">
        <v>89</v>
      </c>
      <c r="F31" s="29">
        <f>SUMIF(ACCOUNTS!$G$2:$G$83,39,ACCOUNTS!$D$2:$D$83)</f>
        <v>8700</v>
      </c>
    </row>
    <row r="32" spans="1:6" x14ac:dyDescent="0.3">
      <c r="E32" s="24" t="s">
        <v>120</v>
      </c>
      <c r="F32" s="29">
        <f>SUMIF(ACCOUNTS!$G$2:$G$83,36,ACCOUNTS!$D$2:$D$83)</f>
        <v>7100</v>
      </c>
    </row>
    <row r="33" spans="5:6" x14ac:dyDescent="0.3">
      <c r="E33" s="24" t="s">
        <v>122</v>
      </c>
      <c r="F33" s="29">
        <f>SUMIF(ACCOUNTS!$G$2:$G$83,5,ACCOUNTS!$D$2:$D$83)</f>
        <v>2150</v>
      </c>
    </row>
  </sheetData>
  <mergeCells count="5">
    <mergeCell ref="A1:H1"/>
    <mergeCell ref="A7:B7"/>
    <mergeCell ref="E7:F7"/>
    <mergeCell ref="A12:C12"/>
    <mergeCell ref="A17:C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"/>
  <sheetViews>
    <sheetView topLeftCell="A23" zoomScaleNormal="100" workbookViewId="0">
      <selection sqref="A1:H1"/>
    </sheetView>
  </sheetViews>
  <sheetFormatPr defaultColWidth="8.6640625" defaultRowHeight="14.4" x14ac:dyDescent="0.3"/>
  <cols>
    <col min="1" max="1" width="12" customWidth="1"/>
    <col min="2" max="3" width="15" customWidth="1"/>
    <col min="5" max="5" width="12" customWidth="1"/>
    <col min="6" max="8" width="15" customWidth="1"/>
  </cols>
  <sheetData>
    <row r="1" spans="1:8" ht="25.5" customHeight="1" x14ac:dyDescent="0.3">
      <c r="A1" s="3" t="s">
        <v>200</v>
      </c>
      <c r="B1" s="3"/>
      <c r="C1" s="3"/>
      <c r="D1" s="3"/>
      <c r="E1" s="3"/>
      <c r="F1" s="3"/>
      <c r="G1" s="3"/>
      <c r="H1" s="3"/>
    </row>
    <row r="4" spans="1:8" x14ac:dyDescent="0.3">
      <c r="A4" s="21" t="s">
        <v>201</v>
      </c>
      <c r="C4" s="21" t="s">
        <v>202</v>
      </c>
      <c r="E4" s="21" t="s">
        <v>203</v>
      </c>
    </row>
    <row r="5" spans="1:8" ht="21" x14ac:dyDescent="0.4">
      <c r="A5" s="22">
        <f>COUNTA(TRANSACTIONS!$A$2:$A$81)</f>
        <v>80</v>
      </c>
      <c r="C5" s="28">
        <f>SUM(TRANSACTIONS!$D$2:$D$81)</f>
        <v>443900</v>
      </c>
      <c r="E5" s="27">
        <f>ROUND(AVERAGE(TRANSACTIONS!$D$2:$D$81),2)</f>
        <v>5548.75</v>
      </c>
    </row>
    <row r="7" spans="1:8" ht="19.5" customHeight="1" x14ac:dyDescent="0.3">
      <c r="A7" s="1" t="s">
        <v>204</v>
      </c>
      <c r="B7" s="1"/>
      <c r="C7" s="1"/>
      <c r="E7" s="1" t="s">
        <v>205</v>
      </c>
      <c r="F7" s="1"/>
      <c r="G7" s="1"/>
    </row>
    <row r="8" spans="1:8" ht="21.75" customHeight="1" x14ac:dyDescent="0.3">
      <c r="A8" s="23" t="s">
        <v>50</v>
      </c>
      <c r="B8" s="23" t="s">
        <v>206</v>
      </c>
      <c r="C8" s="23" t="s">
        <v>207</v>
      </c>
      <c r="E8" s="23" t="s">
        <v>184</v>
      </c>
      <c r="F8" s="23" t="s">
        <v>206</v>
      </c>
      <c r="G8" s="23" t="s">
        <v>207</v>
      </c>
    </row>
    <row r="9" spans="1:8" x14ac:dyDescent="0.3">
      <c r="A9" s="26" t="s">
        <v>208</v>
      </c>
      <c r="B9" s="25">
        <f>COUNTIFS(TRANSACTIONS!$E$2:$E$81,"&gt;="&amp;DATE(2024,1,1),TRANSACTIONS!$E$2:$E$81,"&lt;"&amp;DATE(2024,2,1))</f>
        <v>8</v>
      </c>
      <c r="C9" s="29">
        <f>SUMIFS(TRANSACTIONS!$D$2:$D$81,TRANSACTIONS!$E$2:$E$81,"&gt;="&amp;DATE(2024,1,1),TRANSACTIONS!$E$2:$E$81,"&lt;"&amp;DATE(2024,2,1))</f>
        <v>20000</v>
      </c>
      <c r="E9" s="24" t="s">
        <v>209</v>
      </c>
      <c r="F9" s="25">
        <f>COUNTIF(TRANSACTIONS!$C$2:$C$81,E9)</f>
        <v>39</v>
      </c>
      <c r="G9" s="29">
        <f>SUMIF(TRANSACTIONS!$C$2:$C$81,E9,TRANSACTIONS!$D$2:$D$81)</f>
        <v>378000</v>
      </c>
    </row>
    <row r="10" spans="1:8" x14ac:dyDescent="0.3">
      <c r="A10" s="26" t="s">
        <v>210</v>
      </c>
      <c r="B10" s="25">
        <f>COUNTIFS(TRANSACTIONS!$E$2:$E$81,"&gt;="&amp;DATE(2024,2,1),TRANSACTIONS!$E$2:$E$81,"&lt;"&amp;DATE(2024,3,1))</f>
        <v>7</v>
      </c>
      <c r="C10" s="29">
        <f>SUMIFS(TRANSACTIONS!$D$2:$D$81,TRANSACTIONS!$E$2:$E$81,"&gt;="&amp;DATE(2024,2,1),TRANSACTIONS!$E$2:$E$81,"&lt;"&amp;DATE(2024,3,1))</f>
        <v>33100</v>
      </c>
      <c r="E10" s="24" t="s">
        <v>211</v>
      </c>
      <c r="F10" s="25">
        <f>COUNTIF(TRANSACTIONS!$C$2:$C$81,E10)</f>
        <v>31</v>
      </c>
      <c r="G10" s="29">
        <f>SUMIF(TRANSACTIONS!$C$2:$C$81,E10,TRANSACTIONS!$D$2:$D$81)</f>
        <v>41900</v>
      </c>
    </row>
    <row r="11" spans="1:8" x14ac:dyDescent="0.3">
      <c r="A11" s="26" t="s">
        <v>212</v>
      </c>
      <c r="B11" s="25">
        <f>COUNTIFS(TRANSACTIONS!$E$2:$E$81,"&gt;="&amp;DATE(2024,3,1),TRANSACTIONS!$E$2:$E$81,"&lt;"&amp;DATE(2024,4,1))</f>
        <v>11</v>
      </c>
      <c r="C11" s="29">
        <f>SUMIFS(TRANSACTIONS!$D$2:$D$81,TRANSACTIONS!$E$2:$E$81,"&gt;="&amp;DATE(2024,3,1),TRANSACTIONS!$E$2:$E$81,"&lt;"&amp;DATE(2024,4,1))</f>
        <v>73100</v>
      </c>
      <c r="E11" s="24" t="s">
        <v>213</v>
      </c>
      <c r="F11" s="25">
        <f>COUNTIF(TRANSACTIONS!$C$2:$C$81,E11)</f>
        <v>10</v>
      </c>
      <c r="G11" s="29">
        <f>SUMIF(TRANSACTIONS!$C$2:$C$81,E11,TRANSACTIONS!$D$2:$D$81)</f>
        <v>24000</v>
      </c>
    </row>
    <row r="12" spans="1:8" x14ac:dyDescent="0.3">
      <c r="A12" s="26" t="s">
        <v>214</v>
      </c>
      <c r="B12" s="25">
        <f>COUNTIFS(TRANSACTIONS!$E$2:$E$81,"&gt;="&amp;DATE(2024,4,1),TRANSACTIONS!$E$2:$E$81,"&lt;"&amp;DATE(2024,5,1))</f>
        <v>12</v>
      </c>
      <c r="C12" s="29">
        <f>SUMIFS(TRANSACTIONS!$D$2:$D$81,TRANSACTIONS!$E$2:$E$81,"&gt;="&amp;DATE(2024,4,1),TRANSACTIONS!$E$2:$E$81,"&lt;"&amp;DATE(2024,5,1))</f>
        <v>96400</v>
      </c>
    </row>
    <row r="13" spans="1:8" ht="19.5" customHeight="1" x14ac:dyDescent="0.3">
      <c r="A13" s="26" t="s">
        <v>215</v>
      </c>
      <c r="B13" s="25">
        <f>COUNTIFS(TRANSACTIONS!$E$2:$E$81,"&gt;="&amp;DATE(2024,5,1),TRANSACTIONS!$E$2:$E$81,"&lt;"&amp;DATE(2024,6,1))</f>
        <v>12</v>
      </c>
      <c r="C13" s="29">
        <f>SUMIFS(TRANSACTIONS!$D$2:$D$81,TRANSACTIONS!$E$2:$E$81,"&gt;="&amp;DATE(2024,5,1),TRANSACTIONS!$E$2:$E$81,"&lt;"&amp;DATE(2024,6,1))</f>
        <v>60000</v>
      </c>
      <c r="E13" s="1" t="s">
        <v>216</v>
      </c>
      <c r="F13" s="1"/>
      <c r="G13" s="1"/>
      <c r="H13" s="1"/>
    </row>
    <row r="14" spans="1:8" ht="21.75" customHeight="1" x14ac:dyDescent="0.3">
      <c r="A14" s="26" t="s">
        <v>217</v>
      </c>
      <c r="B14" s="25">
        <f>COUNTIFS(TRANSACTIONS!$E$2:$E$81,"&gt;="&amp;DATE(2024,6,1),TRANSACTIONS!$E$2:$E$81,"&lt;"&amp;DATE(2024,7,1))</f>
        <v>12</v>
      </c>
      <c r="C14" s="29">
        <f>SUMIFS(TRANSACTIONS!$D$2:$D$81,TRANSACTIONS!$E$2:$E$81,"&gt;="&amp;DATE(2024,6,1),TRANSACTIONS!$E$2:$E$81,"&lt;"&amp;DATE(2024,7,1))</f>
        <v>75200</v>
      </c>
      <c r="E14" s="23" t="s">
        <v>218</v>
      </c>
      <c r="F14" s="23" t="s">
        <v>219</v>
      </c>
      <c r="G14" s="23" t="s">
        <v>220</v>
      </c>
      <c r="H14" s="23" t="s">
        <v>221</v>
      </c>
    </row>
    <row r="15" spans="1:8" x14ac:dyDescent="0.3">
      <c r="A15" s="26" t="s">
        <v>222</v>
      </c>
      <c r="B15" s="25">
        <f>COUNTIFS(TRANSACTIONS!$E$2:$E$81,"&gt;="&amp;DATE(2024,7,1),TRANSACTIONS!$E$2:$E$81,"&lt;"&amp;DATE(2024,8,1))</f>
        <v>12</v>
      </c>
      <c r="C15" s="29">
        <f>SUMIFS(TRANSACTIONS!$D$2:$D$81,TRANSACTIONS!$E$2:$E$81,"&gt;="&amp;DATE(2024,7,1),TRANSACTIONS!$E$2:$E$81,"&lt;"&amp;DATE(2024,8,1))</f>
        <v>58300</v>
      </c>
      <c r="E15" s="26">
        <v>1033</v>
      </c>
      <c r="F15" s="26">
        <v>129</v>
      </c>
      <c r="G15" s="29">
        <v>50000</v>
      </c>
      <c r="H15" s="30">
        <v>45397</v>
      </c>
    </row>
    <row r="16" spans="1:8" x14ac:dyDescent="0.3">
      <c r="A16" s="26" t="s">
        <v>223</v>
      </c>
      <c r="B16" s="25">
        <f>COUNTIFS(TRANSACTIONS!$E$2:$E$81,"&gt;="&amp;DATE(2024,8,1),TRANSACTIONS!$E$2:$E$81,"&lt;"&amp;DATE(2024,9,1))</f>
        <v>6</v>
      </c>
      <c r="C16" s="29">
        <f>SUMIFS(TRANSACTIONS!$D$2:$D$81,TRANSACTIONS!$E$2:$E$81,"&gt;="&amp;DATE(2024,8,1),TRANSACTIONS!$E$2:$E$81,"&lt;"&amp;DATE(2024,9,1))</f>
        <v>27800</v>
      </c>
      <c r="E16" s="26">
        <v>1023</v>
      </c>
      <c r="F16" s="26">
        <v>120</v>
      </c>
      <c r="G16" s="29">
        <v>30000</v>
      </c>
      <c r="H16" s="30">
        <v>45371</v>
      </c>
    </row>
    <row r="17" spans="1:8" x14ac:dyDescent="0.3">
      <c r="E17" s="26">
        <v>1054</v>
      </c>
      <c r="F17" s="26">
        <v>148</v>
      </c>
      <c r="G17" s="29">
        <v>25000</v>
      </c>
      <c r="H17" s="30">
        <v>45451</v>
      </c>
    </row>
    <row r="18" spans="1:8" x14ac:dyDescent="0.3">
      <c r="E18" s="26">
        <v>1071</v>
      </c>
      <c r="F18" s="26">
        <v>173</v>
      </c>
      <c r="G18" s="29">
        <v>25000</v>
      </c>
      <c r="H18" s="30">
        <v>45495</v>
      </c>
    </row>
    <row r="19" spans="1:8" ht="19.5" customHeight="1" x14ac:dyDescent="0.3">
      <c r="A19" s="1" t="s">
        <v>224</v>
      </c>
      <c r="B19" s="1"/>
      <c r="C19" s="1"/>
      <c r="E19" s="26">
        <v>1013</v>
      </c>
      <c r="F19" s="26">
        <v>111</v>
      </c>
      <c r="G19" s="29">
        <v>20000</v>
      </c>
      <c r="H19" s="30">
        <v>45337</v>
      </c>
    </row>
    <row r="20" spans="1:8" ht="21.75" customHeight="1" x14ac:dyDescent="0.3">
      <c r="A20" s="23" t="s">
        <v>219</v>
      </c>
      <c r="B20" s="23" t="s">
        <v>206</v>
      </c>
      <c r="C20" s="23" t="s">
        <v>207</v>
      </c>
      <c r="E20" s="26">
        <v>1043</v>
      </c>
      <c r="F20" s="26">
        <v>138</v>
      </c>
      <c r="G20" s="29">
        <v>20000</v>
      </c>
      <c r="H20" s="30">
        <v>45422</v>
      </c>
    </row>
    <row r="21" spans="1:8" x14ac:dyDescent="0.3">
      <c r="A21" s="26">
        <v>101</v>
      </c>
      <c r="B21" s="25">
        <f>COUNTIF(TRANSACTIONS!$B$2:$B$81,A21)</f>
        <v>2</v>
      </c>
      <c r="C21" s="29">
        <f>SUMIF(TRANSACTIONS!$B$2:$B$81,A21,TRANSACTIONS!$D$2:$D$81)</f>
        <v>6200</v>
      </c>
      <c r="E21" s="26">
        <v>1059</v>
      </c>
      <c r="F21" s="26">
        <v>152</v>
      </c>
      <c r="G21" s="29">
        <v>18000</v>
      </c>
      <c r="H21" s="30">
        <v>45463</v>
      </c>
    </row>
    <row r="22" spans="1:8" x14ac:dyDescent="0.3">
      <c r="A22" s="26">
        <v>103</v>
      </c>
      <c r="B22" s="25">
        <f>COUNTIF(TRANSACTIONS!$B$2:$B$81,A22)</f>
        <v>2</v>
      </c>
      <c r="C22" s="29">
        <f>SUMIF(TRANSACTIONS!$B$2:$B$81,A22,TRANSACTIONS!$D$2:$D$81)</f>
        <v>2500</v>
      </c>
      <c r="E22" s="26">
        <v>1021</v>
      </c>
      <c r="F22" s="26">
        <v>118</v>
      </c>
      <c r="G22" s="29">
        <v>15000</v>
      </c>
      <c r="H22" s="30">
        <v>45366</v>
      </c>
    </row>
    <row r="23" spans="1:8" x14ac:dyDescent="0.3">
      <c r="A23" s="26">
        <v>111</v>
      </c>
      <c r="B23" s="25">
        <f>COUNTIF(TRANSACTIONS!$B$2:$B$81,A23)</f>
        <v>2</v>
      </c>
      <c r="C23" s="29">
        <f>SUMIF(TRANSACTIONS!$B$2:$B$81,A23,TRANSACTIONS!$D$2:$D$81)</f>
        <v>23000</v>
      </c>
      <c r="E23" s="26">
        <v>1075</v>
      </c>
      <c r="F23" s="26">
        <v>177</v>
      </c>
      <c r="G23" s="29">
        <v>12000</v>
      </c>
      <c r="H23" s="30">
        <v>45505</v>
      </c>
    </row>
    <row r="24" spans="1:8" x14ac:dyDescent="0.3">
      <c r="A24" s="26">
        <v>114</v>
      </c>
      <c r="B24" s="25">
        <f>COUNTIF(TRANSACTIONS!$B$2:$B$81,A24)</f>
        <v>2</v>
      </c>
      <c r="C24" s="29">
        <f>SUMIF(TRANSACTIONS!$B$2:$B$81,A24,TRANSACTIONS!$D$2:$D$81)</f>
        <v>9500</v>
      </c>
      <c r="E24" s="26">
        <v>1007</v>
      </c>
      <c r="F24" s="26">
        <v>105</v>
      </c>
      <c r="G24" s="29">
        <v>10000</v>
      </c>
      <c r="H24" s="30">
        <v>45313</v>
      </c>
    </row>
    <row r="25" spans="1:8" x14ac:dyDescent="0.3">
      <c r="A25" s="26">
        <v>120</v>
      </c>
      <c r="B25" s="25">
        <f>COUNTIF(TRANSACTIONS!$B$2:$B$81,A25)</f>
        <v>2</v>
      </c>
      <c r="C25" s="29">
        <f>SUMIF(TRANSACTIONS!$B$2:$B$81,A25,TRANSACTIONS!$D$2:$D$81)</f>
        <v>35000</v>
      </c>
    </row>
    <row r="26" spans="1:8" x14ac:dyDescent="0.3">
      <c r="A26" s="26">
        <v>129</v>
      </c>
      <c r="B26" s="25">
        <f>COUNTIF(TRANSACTIONS!$B$2:$B$81,A26)</f>
        <v>2</v>
      </c>
      <c r="C26" s="29">
        <f>SUMIF(TRANSACTIONS!$B$2:$B$81,A26,TRANSACTIONS!$D$2:$D$81)</f>
        <v>58000</v>
      </c>
    </row>
    <row r="27" spans="1:8" x14ac:dyDescent="0.3">
      <c r="A27" s="26">
        <v>138</v>
      </c>
      <c r="B27" s="25">
        <f>COUNTIF(TRANSACTIONS!$B$2:$B$81,A27)</f>
        <v>2</v>
      </c>
      <c r="C27" s="29">
        <f>SUMIF(TRANSACTIONS!$B$2:$B$81,A27,TRANSACTIONS!$D$2:$D$81)</f>
        <v>24000</v>
      </c>
    </row>
    <row r="28" spans="1:8" x14ac:dyDescent="0.3">
      <c r="A28" s="26">
        <v>148</v>
      </c>
      <c r="B28" s="25">
        <f>COUNTIF(TRANSACTIONS!$B$2:$B$81,A28)</f>
        <v>2</v>
      </c>
      <c r="C28" s="29">
        <f>SUMIF(TRANSACTIONS!$B$2:$B$81,A28,TRANSACTIONS!$D$2:$D$81)</f>
        <v>30000</v>
      </c>
    </row>
    <row r="29" spans="1:8" x14ac:dyDescent="0.3">
      <c r="A29" s="26">
        <v>169</v>
      </c>
      <c r="B29" s="25">
        <f>COUNTIF(TRANSACTIONS!$B$2:$B$81,A29)</f>
        <v>2</v>
      </c>
      <c r="C29" s="29">
        <f>SUMIF(TRANSACTIONS!$B$2:$B$81,A29,TRANSACTIONS!$D$2:$D$81)</f>
        <v>7000</v>
      </c>
    </row>
    <row r="30" spans="1:8" x14ac:dyDescent="0.3">
      <c r="A30" s="26">
        <v>102</v>
      </c>
      <c r="B30" s="25">
        <f>COUNTIF(TRANSACTIONS!$B$2:$B$81,A30)</f>
        <v>1</v>
      </c>
      <c r="C30" s="29">
        <f>SUMIF(TRANSACTIONS!$B$2:$B$81,A30,TRANSACTIONS!$D$2:$D$81)</f>
        <v>800</v>
      </c>
    </row>
  </sheetData>
  <mergeCells count="5">
    <mergeCell ref="A1:H1"/>
    <mergeCell ref="A7:C7"/>
    <mergeCell ref="E7:G7"/>
    <mergeCell ref="E13:H13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3"/>
  <sheetViews>
    <sheetView zoomScaleNormal="100" workbookViewId="0">
      <selection sqref="A1:H1"/>
    </sheetView>
  </sheetViews>
  <sheetFormatPr defaultColWidth="8.6640625" defaultRowHeight="14.4" x14ac:dyDescent="0.3"/>
  <cols>
    <col min="1" max="1" width="14" customWidth="1"/>
    <col min="3" max="3" width="15" customWidth="1"/>
    <col min="4" max="4" width="13" customWidth="1"/>
    <col min="5" max="5" width="18" customWidth="1"/>
    <col min="7" max="7" width="18" customWidth="1"/>
    <col min="8" max="8" width="17" customWidth="1"/>
  </cols>
  <sheetData>
    <row r="1" spans="1:8" ht="25.5" customHeight="1" x14ac:dyDescent="0.3">
      <c r="A1" s="3" t="s">
        <v>225</v>
      </c>
      <c r="B1" s="3"/>
      <c r="C1" s="3"/>
      <c r="D1" s="3"/>
      <c r="E1" s="3"/>
      <c r="F1" s="3"/>
      <c r="G1" s="3"/>
      <c r="H1" s="3"/>
    </row>
    <row r="4" spans="1:8" x14ac:dyDescent="0.3">
      <c r="A4" s="21" t="s">
        <v>226</v>
      </c>
      <c r="C4" s="21" t="s">
        <v>176</v>
      </c>
      <c r="E4" s="21" t="s">
        <v>227</v>
      </c>
      <c r="G4" s="21" t="s">
        <v>228</v>
      </c>
    </row>
    <row r="5" spans="1:8" ht="21" x14ac:dyDescent="0.4">
      <c r="A5" s="22">
        <f>COUNTA(LOANS!$A$2:$A$61)</f>
        <v>60</v>
      </c>
      <c r="C5" s="22">
        <f>COUNTIF(LOANS!$H$2:$H$61,"ACTIVE")</f>
        <v>52</v>
      </c>
      <c r="E5" s="22">
        <f>COUNTIF(LOANS!$H$2:$H$61,"PAID")</f>
        <v>8</v>
      </c>
      <c r="G5" s="31">
        <f>ROUND(AVERAGE(LOANS!$E$2:$E$61),2)</f>
        <v>5.54</v>
      </c>
    </row>
    <row r="7" spans="1:8" ht="19.5" customHeight="1" x14ac:dyDescent="0.3">
      <c r="A7" s="1" t="s">
        <v>229</v>
      </c>
      <c r="B7" s="1"/>
      <c r="C7" s="1"/>
      <c r="D7" s="1"/>
      <c r="E7" s="1"/>
      <c r="G7" s="1" t="s">
        <v>230</v>
      </c>
      <c r="H7" s="1"/>
    </row>
    <row r="8" spans="1:8" ht="21.75" customHeight="1" x14ac:dyDescent="0.3">
      <c r="A8" s="23" t="s">
        <v>231</v>
      </c>
      <c r="B8" s="23" t="s">
        <v>232</v>
      </c>
      <c r="C8" s="23" t="s">
        <v>207</v>
      </c>
      <c r="D8" s="23" t="s">
        <v>233</v>
      </c>
      <c r="E8" s="23" t="s">
        <v>234</v>
      </c>
      <c r="G8" s="23" t="s">
        <v>49</v>
      </c>
      <c r="H8" s="23" t="s">
        <v>235</v>
      </c>
    </row>
    <row r="9" spans="1:8" x14ac:dyDescent="0.3">
      <c r="A9" s="24" t="s">
        <v>236</v>
      </c>
      <c r="B9" s="25">
        <f>COUNTIF(LOANS!$C$2:$C$61,A9)</f>
        <v>17</v>
      </c>
      <c r="C9" s="29">
        <f>SUMIF(LOANS!$C$2:$C$61,A9,LOANS!$D$2:$D$61)</f>
        <v>3710000</v>
      </c>
      <c r="D9" s="29">
        <f>ROUND(AVERAGEIF(LOANS!$C$2:$C$61,A9,LOANS!$D$2:$D$61),2)</f>
        <v>218235.29</v>
      </c>
      <c r="E9" s="32">
        <f>ROUND(AVERAGEIF(LOANS!$C$2:$C$61,A9,LOANS!$E$2:$E$61),2)</f>
        <v>3.56</v>
      </c>
      <c r="G9" s="24" t="s">
        <v>53</v>
      </c>
      <c r="H9" s="29">
        <f>SUMIF(LOANS!$I$2:$I$61,11,LOANS!$D$2:$D$61)</f>
        <v>1090000</v>
      </c>
    </row>
    <row r="10" spans="1:8" x14ac:dyDescent="0.3">
      <c r="A10" s="24" t="s">
        <v>237</v>
      </c>
      <c r="B10" s="25">
        <f>COUNTIF(LOANS!$C$2:$C$61,A10)</f>
        <v>9</v>
      </c>
      <c r="C10" s="29">
        <f>SUMIF(LOANS!$C$2:$C$61,A10,LOANS!$D$2:$D$61)</f>
        <v>2280000</v>
      </c>
      <c r="D10" s="29">
        <f>ROUND(AVERAGEIF(LOANS!$C$2:$C$61,A10,LOANS!$D$2:$D$61),2)</f>
        <v>253333.33</v>
      </c>
      <c r="E10" s="32">
        <f>ROUND(AVERAGEIF(LOANS!$C$2:$C$61,A10,LOANS!$E$2:$E$61),2)</f>
        <v>3.97</v>
      </c>
      <c r="G10" s="24" t="s">
        <v>65</v>
      </c>
      <c r="H10" s="29">
        <f>SUMIF(LOANS!$I$2:$I$61,9,LOANS!$D$2:$D$61)</f>
        <v>775000</v>
      </c>
    </row>
    <row r="11" spans="1:8" x14ac:dyDescent="0.3">
      <c r="A11" s="24" t="s">
        <v>238</v>
      </c>
      <c r="B11" s="25">
        <f>COUNTIF(LOANS!$C$2:$C$61,A11)</f>
        <v>18</v>
      </c>
      <c r="C11" s="29">
        <f>SUMIF(LOANS!$C$2:$C$61,A11,LOANS!$D$2:$D$61)</f>
        <v>290000</v>
      </c>
      <c r="D11" s="29">
        <f>ROUND(AVERAGEIF(LOANS!$C$2:$C$61,A11,LOANS!$D$2:$D$61),2)</f>
        <v>16111.11</v>
      </c>
      <c r="E11" s="32">
        <f>ROUND(AVERAGEIF(LOANS!$C$2:$C$61,A11,LOANS!$E$2:$E$61),2)</f>
        <v>5.82</v>
      </c>
      <c r="G11" s="24" t="s">
        <v>62</v>
      </c>
      <c r="H11" s="29">
        <f>SUMIF(LOANS!$I$2:$I$61,6,LOANS!$D$2:$D$61)</f>
        <v>635000</v>
      </c>
    </row>
    <row r="12" spans="1:8" x14ac:dyDescent="0.3">
      <c r="A12" s="24" t="s">
        <v>239</v>
      </c>
      <c r="B12" s="25">
        <f>COUNTIF(LOANS!$C$2:$C$61,A12)</f>
        <v>16</v>
      </c>
      <c r="C12" s="29">
        <f>SUMIF(LOANS!$C$2:$C$61,A12,LOANS!$D$2:$D$61)</f>
        <v>94000</v>
      </c>
      <c r="D12" s="29">
        <f>ROUND(AVERAGEIF(LOANS!$C$2:$C$61,A12,LOANS!$D$2:$D$61),2)</f>
        <v>5875</v>
      </c>
      <c r="E12" s="32">
        <f>ROUND(AVERAGEIF(LOANS!$C$2:$C$61,A12,LOANS!$E$2:$E$61),2)</f>
        <v>8.2100000000000009</v>
      </c>
      <c r="G12" s="24" t="s">
        <v>68</v>
      </c>
      <c r="H12" s="29">
        <f>SUMIF(LOANS!$I$2:$I$61,14,LOANS!$D$2:$D$61)</f>
        <v>635000</v>
      </c>
    </row>
    <row r="13" spans="1:8" x14ac:dyDescent="0.3">
      <c r="G13" s="24" t="s">
        <v>59</v>
      </c>
      <c r="H13" s="29">
        <f>SUMIF(LOANS!$I$2:$I$61,4,LOANS!$D$2:$D$61)</f>
        <v>480000</v>
      </c>
    </row>
    <row r="14" spans="1:8" x14ac:dyDescent="0.3">
      <c r="G14" s="24" t="s">
        <v>83</v>
      </c>
      <c r="H14" s="29">
        <f>SUMIF(LOANS!$I$2:$I$61,1,LOANS!$D$2:$D$61)</f>
        <v>413000</v>
      </c>
    </row>
    <row r="15" spans="1:8" x14ac:dyDescent="0.3">
      <c r="G15" s="24" t="s">
        <v>56</v>
      </c>
      <c r="H15" s="29">
        <f>SUMIF(LOANS!$I$2:$I$61,8,LOANS!$D$2:$D$61)</f>
        <v>387500</v>
      </c>
    </row>
    <row r="16" spans="1:8" x14ac:dyDescent="0.3">
      <c r="G16" s="24" t="s">
        <v>74</v>
      </c>
      <c r="H16" s="29">
        <f>SUMIF(LOANS!$I$2:$I$61,32,LOANS!$D$2:$D$61)</f>
        <v>350000</v>
      </c>
    </row>
    <row r="17" spans="7:8" x14ac:dyDescent="0.3">
      <c r="G17" s="24" t="s">
        <v>89</v>
      </c>
      <c r="H17" s="29">
        <f>SUMIF(LOANS!$I$2:$I$61,35,LOANS!$D$2:$D$61)</f>
        <v>280000</v>
      </c>
    </row>
    <row r="18" spans="7:8" x14ac:dyDescent="0.3">
      <c r="G18" s="24" t="s">
        <v>98</v>
      </c>
      <c r="H18" s="29">
        <f>SUMIF(LOANS!$I$2:$I$61,30,LOANS!$D$2:$D$61)</f>
        <v>225000</v>
      </c>
    </row>
    <row r="19" spans="7:8" x14ac:dyDescent="0.3">
      <c r="G19" s="24" t="s">
        <v>86</v>
      </c>
      <c r="H19" s="29">
        <f>SUMIF(LOANS!$I$2:$I$61,13,LOANS!$D$2:$D$61)</f>
        <v>210500</v>
      </c>
    </row>
    <row r="20" spans="7:8" x14ac:dyDescent="0.3">
      <c r="G20" s="24" t="s">
        <v>92</v>
      </c>
      <c r="H20" s="29">
        <f>SUMIF(LOANS!$I$2:$I$61,38,LOANS!$D$2:$D$61)</f>
        <v>195000</v>
      </c>
    </row>
    <row r="21" spans="7:8" x14ac:dyDescent="0.3">
      <c r="G21" s="24" t="s">
        <v>120</v>
      </c>
      <c r="H21" s="29">
        <f>SUMIF(LOANS!$I$2:$I$61,36,LOANS!$D$2:$D$61)</f>
        <v>180000</v>
      </c>
    </row>
    <row r="22" spans="7:8" x14ac:dyDescent="0.3">
      <c r="G22" s="24" t="s">
        <v>80</v>
      </c>
      <c r="H22" s="29">
        <f>SUMIF(LOANS!$I$2:$I$61,7,LOANS!$D$2:$D$61)</f>
        <v>150000</v>
      </c>
    </row>
    <row r="23" spans="7:8" x14ac:dyDescent="0.3">
      <c r="G23" s="24" t="s">
        <v>77</v>
      </c>
      <c r="H23" s="29">
        <f>SUMIF(LOANS!$I$2:$I$61,2,LOANS!$D$2:$D$61)</f>
        <v>120500</v>
      </c>
    </row>
    <row r="24" spans="7:8" x14ac:dyDescent="0.3">
      <c r="G24" s="24" t="s">
        <v>71</v>
      </c>
      <c r="H24" s="29">
        <f>SUMIF(LOANS!$I$2:$I$61,12,LOANS!$D$2:$D$61)</f>
        <v>54000</v>
      </c>
    </row>
    <row r="25" spans="7:8" x14ac:dyDescent="0.3">
      <c r="G25" s="24" t="s">
        <v>104</v>
      </c>
      <c r="H25" s="29">
        <f>SUMIF(LOANS!$I$2:$I$61,10,LOANS!$D$2:$D$61)</f>
        <v>44000</v>
      </c>
    </row>
    <row r="26" spans="7:8" x14ac:dyDescent="0.3">
      <c r="G26" s="24" t="s">
        <v>95</v>
      </c>
      <c r="H26" s="29">
        <f>SUMIF(LOANS!$I$2:$I$61,3,LOANS!$D$2:$D$61)</f>
        <v>36000</v>
      </c>
    </row>
    <row r="27" spans="7:8" x14ac:dyDescent="0.3">
      <c r="G27" s="24" t="s">
        <v>101</v>
      </c>
      <c r="H27" s="29">
        <f>SUMIF(LOANS!$I$2:$I$61,15,LOANS!$D$2:$D$61)</f>
        <v>31000</v>
      </c>
    </row>
    <row r="28" spans="7:8" x14ac:dyDescent="0.3">
      <c r="G28" s="24" t="s">
        <v>122</v>
      </c>
      <c r="H28" s="29">
        <f>SUMIF(LOANS!$I$2:$I$61,5,LOANS!$D$2:$D$61)</f>
        <v>23000</v>
      </c>
    </row>
    <row r="29" spans="7:8" x14ac:dyDescent="0.3">
      <c r="G29" s="24" t="s">
        <v>68</v>
      </c>
      <c r="H29" s="29">
        <f>SUMIF(LOANS!$I$2:$I$61,34,LOANS!$D$2:$D$61)</f>
        <v>18500</v>
      </c>
    </row>
    <row r="30" spans="7:8" x14ac:dyDescent="0.3">
      <c r="G30" s="24" t="s">
        <v>109</v>
      </c>
      <c r="H30" s="29">
        <f>SUMIF(LOANS!$I$2:$I$61,31,LOANS!$D$2:$D$61)</f>
        <v>16000</v>
      </c>
    </row>
    <row r="31" spans="7:8" x14ac:dyDescent="0.3">
      <c r="G31" s="24" t="s">
        <v>89</v>
      </c>
      <c r="H31" s="29">
        <f>SUMIF(LOANS!$I$2:$I$61,39,LOANS!$D$2:$D$61)</f>
        <v>14500</v>
      </c>
    </row>
    <row r="32" spans="7:8" x14ac:dyDescent="0.3">
      <c r="G32" s="24" t="s">
        <v>112</v>
      </c>
      <c r="H32" s="29">
        <f>SUMIF(LOANS!$I$2:$I$61,37,LOANS!$D$2:$D$61)</f>
        <v>6000</v>
      </c>
    </row>
    <row r="33" spans="7:8" x14ac:dyDescent="0.3">
      <c r="G33" s="24" t="s">
        <v>115</v>
      </c>
      <c r="H33" s="29">
        <f>SUMIF(LOANS!$I$2:$I$61,33,LOANS!$D$2:$D$61)</f>
        <v>4500</v>
      </c>
    </row>
  </sheetData>
  <mergeCells count="3">
    <mergeCell ref="A1:H1"/>
    <mergeCell ref="A7:E7"/>
    <mergeCell ref="G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zoomScaleNormal="100" workbookViewId="0">
      <selection sqref="A1:H1"/>
    </sheetView>
  </sheetViews>
  <sheetFormatPr defaultColWidth="8.6640625" defaultRowHeight="14.4" x14ac:dyDescent="0.3"/>
  <cols>
    <col min="1" max="1" width="13" customWidth="1"/>
    <col min="3" max="3" width="18" customWidth="1"/>
    <col min="4" max="4" width="13" customWidth="1"/>
    <col min="5" max="5" width="18" customWidth="1"/>
    <col min="7" max="7" width="18" customWidth="1"/>
  </cols>
  <sheetData>
    <row r="1" spans="1:8" ht="25.5" customHeight="1" x14ac:dyDescent="0.3">
      <c r="A1" s="3" t="s">
        <v>240</v>
      </c>
      <c r="B1" s="3"/>
      <c r="C1" s="3"/>
      <c r="D1" s="3"/>
      <c r="E1" s="3"/>
      <c r="F1" s="3"/>
      <c r="G1" s="3"/>
      <c r="H1" s="3"/>
    </row>
    <row r="4" spans="1:8" x14ac:dyDescent="0.3">
      <c r="A4" s="21" t="s">
        <v>241</v>
      </c>
      <c r="C4" s="21" t="s">
        <v>176</v>
      </c>
      <c r="E4" s="21" t="s">
        <v>242</v>
      </c>
      <c r="G4" s="21" t="s">
        <v>243</v>
      </c>
    </row>
    <row r="5" spans="1:8" ht="21" x14ac:dyDescent="0.4">
      <c r="A5" s="22">
        <f>COUNTA(CARDS!$A$2:$A$61)</f>
        <v>60</v>
      </c>
      <c r="C5" s="22">
        <f>COUNTIF(CARDS!$F$2:$F$61,"ACTIVE")</f>
        <v>53</v>
      </c>
      <c r="E5" s="22">
        <f>COUNTIF(CARDS!$F$2:$F$61,"EXPIRED")</f>
        <v>6</v>
      </c>
      <c r="G5" s="22">
        <f>COUNTIF(CARDS!$F$2:$F$61,"BLOCKED")</f>
        <v>1</v>
      </c>
    </row>
    <row r="7" spans="1:8" ht="19.5" customHeight="1" x14ac:dyDescent="0.3">
      <c r="A7" s="1" t="s">
        <v>244</v>
      </c>
      <c r="B7" s="1"/>
      <c r="D7" s="1" t="s">
        <v>245</v>
      </c>
      <c r="E7" s="1"/>
    </row>
    <row r="8" spans="1:8" ht="21.75" customHeight="1" x14ac:dyDescent="0.3">
      <c r="A8" s="23" t="s">
        <v>246</v>
      </c>
      <c r="B8" s="23" t="s">
        <v>247</v>
      </c>
      <c r="D8" s="23" t="s">
        <v>181</v>
      </c>
      <c r="E8" s="23" t="s">
        <v>247</v>
      </c>
    </row>
    <row r="9" spans="1:8" x14ac:dyDescent="0.3">
      <c r="A9" s="24" t="s">
        <v>248</v>
      </c>
      <c r="B9" s="25">
        <f>COUNTIF(CARDS!$C$2:$C$61,A9)</f>
        <v>38</v>
      </c>
      <c r="D9" s="24" t="s">
        <v>176</v>
      </c>
      <c r="E9" s="25">
        <f>COUNTIF(CARDS!$F$2:$F$61,D9)</f>
        <v>53</v>
      </c>
    </row>
    <row r="10" spans="1:8" x14ac:dyDescent="0.3">
      <c r="A10" s="24" t="s">
        <v>249</v>
      </c>
      <c r="B10" s="25">
        <f>COUNTIF(CARDS!$C$2:$C$61,A10)</f>
        <v>22</v>
      </c>
      <c r="D10" s="24" t="s">
        <v>242</v>
      </c>
      <c r="E10" s="25">
        <f>COUNTIF(CARDS!$F$2:$F$61,D10)</f>
        <v>6</v>
      </c>
    </row>
    <row r="11" spans="1:8" x14ac:dyDescent="0.3">
      <c r="D11" s="24" t="s">
        <v>243</v>
      </c>
      <c r="E11" s="25">
        <f>COUNTIF(CARDS!$F$2:$F$61,D11)</f>
        <v>1</v>
      </c>
    </row>
  </sheetData>
  <mergeCells count="3">
    <mergeCell ref="A1:H1"/>
    <mergeCell ref="A7:B7"/>
    <mergeCell ref="D7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4"/>
  <sheetViews>
    <sheetView zoomScaleNormal="100" workbookViewId="0">
      <pane ySplit="4" topLeftCell="A5" activePane="bottomLeft" state="frozen"/>
      <selection pane="bottomLeft" sqref="A1:H1"/>
    </sheetView>
  </sheetViews>
  <sheetFormatPr defaultColWidth="8.6640625" defaultRowHeight="14.4" x14ac:dyDescent="0.3"/>
  <cols>
    <col min="1" max="1" width="22" customWidth="1"/>
    <col min="2" max="2" width="15" customWidth="1"/>
    <col min="3" max="5" width="11" customWidth="1"/>
    <col min="6" max="6" width="15" customWidth="1"/>
    <col min="7" max="7" width="7" customWidth="1"/>
  </cols>
  <sheetData>
    <row r="1" spans="1:8" ht="25.5" customHeight="1" x14ac:dyDescent="0.3">
      <c r="A1" s="3" t="s">
        <v>250</v>
      </c>
      <c r="B1" s="3"/>
      <c r="C1" s="3"/>
      <c r="D1" s="3"/>
      <c r="E1" s="3"/>
      <c r="F1" s="3"/>
      <c r="G1" s="3"/>
      <c r="H1" s="3"/>
    </row>
    <row r="2" spans="1:8" x14ac:dyDescent="0.3">
      <c r="A2" s="2" t="s">
        <v>251</v>
      </c>
      <c r="B2" s="2"/>
      <c r="C2" s="2"/>
      <c r="D2" s="2"/>
      <c r="E2" s="2"/>
      <c r="F2" s="2"/>
      <c r="G2" s="2"/>
      <c r="H2" s="2"/>
    </row>
    <row r="4" spans="1:8" ht="21.75" customHeight="1" x14ac:dyDescent="0.3">
      <c r="A4" s="23" t="s">
        <v>49</v>
      </c>
      <c r="B4" s="23" t="s">
        <v>48</v>
      </c>
      <c r="C4" s="23" t="s">
        <v>2</v>
      </c>
      <c r="D4" s="23" t="s">
        <v>252</v>
      </c>
      <c r="E4" s="23" t="s">
        <v>3</v>
      </c>
      <c r="F4" s="23" t="s">
        <v>4</v>
      </c>
      <c r="G4" s="23" t="s">
        <v>253</v>
      </c>
    </row>
    <row r="5" spans="1:8" x14ac:dyDescent="0.3">
      <c r="A5" s="24" t="s">
        <v>53</v>
      </c>
      <c r="B5" s="24" t="s">
        <v>79</v>
      </c>
      <c r="C5" s="25">
        <f>COUNTIF(CUSTOMERS!$H$2:$H$61,11)</f>
        <v>3</v>
      </c>
      <c r="D5" s="25">
        <f>COUNTIF(EMPLOYEES!$F$2:$F$61,11)</f>
        <v>2</v>
      </c>
      <c r="E5" s="25">
        <f>COUNTIF(ACCOUNTS!$G$2:$G$83,11)</f>
        <v>5</v>
      </c>
      <c r="F5" s="29">
        <f>SUMIF(ACCOUNTS!$G$2:$G$83,11,ACCOUNTS!$D$2:$D$83)</f>
        <v>184700</v>
      </c>
      <c r="G5" s="25">
        <f t="shared" ref="G5:G36" si="0">RANK(F5,$F$5:$F$64)</f>
        <v>1</v>
      </c>
    </row>
    <row r="6" spans="1:8" x14ac:dyDescent="0.3">
      <c r="A6" s="24" t="s">
        <v>56</v>
      </c>
      <c r="B6" s="24" t="s">
        <v>61</v>
      </c>
      <c r="C6" s="25">
        <f>COUNTIF(CUSTOMERS!$H$2:$H$61,8)</f>
        <v>4</v>
      </c>
      <c r="D6" s="25">
        <f>COUNTIF(EMPLOYEES!$F$2:$F$61,8)</f>
        <v>2</v>
      </c>
      <c r="E6" s="25">
        <f>COUNTIF(ACCOUNTS!$G$2:$G$83,8)</f>
        <v>5</v>
      </c>
      <c r="F6" s="29">
        <f>SUMIF(ACCOUNTS!$G$2:$G$83,8,ACCOUNTS!$D$2:$D$83)</f>
        <v>151000</v>
      </c>
      <c r="G6" s="25">
        <f t="shared" si="0"/>
        <v>2</v>
      </c>
    </row>
    <row r="7" spans="1:8" x14ac:dyDescent="0.3">
      <c r="A7" s="24" t="s">
        <v>59</v>
      </c>
      <c r="B7" s="24" t="s">
        <v>73</v>
      </c>
      <c r="C7" s="25">
        <f>COUNTIF(CUSTOMERS!$H$2:$H$61,4)</f>
        <v>3</v>
      </c>
      <c r="D7" s="25">
        <f>COUNTIF(EMPLOYEES!$F$2:$F$61,4)</f>
        <v>4</v>
      </c>
      <c r="E7" s="25">
        <f>COUNTIF(ACCOUNTS!$G$2:$G$83,4)</f>
        <v>4</v>
      </c>
      <c r="F7" s="29">
        <f>SUMIF(ACCOUNTS!$G$2:$G$83,4,ACCOUNTS!$D$2:$D$83)</f>
        <v>126700</v>
      </c>
      <c r="G7" s="25">
        <f t="shared" si="0"/>
        <v>3</v>
      </c>
    </row>
    <row r="8" spans="1:8" x14ac:dyDescent="0.3">
      <c r="A8" s="24" t="s">
        <v>62</v>
      </c>
      <c r="B8" s="24" t="s">
        <v>55</v>
      </c>
      <c r="C8" s="25">
        <f>COUNTIF(CUSTOMERS!$H$2:$H$61,6)</f>
        <v>4</v>
      </c>
      <c r="D8" s="25">
        <f>COUNTIF(EMPLOYEES!$F$2:$F$61,6)</f>
        <v>3</v>
      </c>
      <c r="E8" s="25">
        <f>COUNTIF(ACCOUNTS!$G$2:$G$83,6)</f>
        <v>6</v>
      </c>
      <c r="F8" s="29">
        <f>SUMIF(ACCOUNTS!$G$2:$G$83,6,ACCOUNTS!$D$2:$D$83)</f>
        <v>125200</v>
      </c>
      <c r="G8" s="25">
        <f t="shared" si="0"/>
        <v>4</v>
      </c>
    </row>
    <row r="9" spans="1:8" x14ac:dyDescent="0.3">
      <c r="A9" s="24" t="s">
        <v>65</v>
      </c>
      <c r="B9" s="24" t="s">
        <v>64</v>
      </c>
      <c r="C9" s="25">
        <f>COUNTIF(CUSTOMERS!$H$2:$H$61,9)</f>
        <v>4</v>
      </c>
      <c r="D9" s="25">
        <f>COUNTIF(EMPLOYEES!$F$2:$F$61,9)</f>
        <v>2</v>
      </c>
      <c r="E9" s="25">
        <f>COUNTIF(ACCOUNTS!$G$2:$G$83,9)</f>
        <v>5</v>
      </c>
      <c r="F9" s="29">
        <f>SUMIF(ACCOUNTS!$G$2:$G$83,9,ACCOUNTS!$D$2:$D$83)</f>
        <v>121500</v>
      </c>
      <c r="G9" s="25">
        <f t="shared" si="0"/>
        <v>5</v>
      </c>
    </row>
    <row r="10" spans="1:8" x14ac:dyDescent="0.3">
      <c r="A10" s="24" t="s">
        <v>68</v>
      </c>
      <c r="B10" s="24" t="s">
        <v>88</v>
      </c>
      <c r="C10" s="25">
        <f>COUNTIF(CUSTOMERS!$H$2:$H$61,14)</f>
        <v>3</v>
      </c>
      <c r="D10" s="25">
        <f>COUNTIF(EMPLOYEES!$F$2:$F$61,14)</f>
        <v>2</v>
      </c>
      <c r="E10" s="25">
        <f>COUNTIF(ACCOUNTS!$G$2:$G$83,14)</f>
        <v>4</v>
      </c>
      <c r="F10" s="29">
        <f>SUMIF(ACCOUNTS!$G$2:$G$83,14,ACCOUNTS!$D$2:$D$83)</f>
        <v>106200</v>
      </c>
      <c r="G10" s="25">
        <f t="shared" si="0"/>
        <v>6</v>
      </c>
    </row>
    <row r="11" spans="1:8" x14ac:dyDescent="0.3">
      <c r="A11" s="24" t="s">
        <v>71</v>
      </c>
      <c r="B11" s="24" t="s">
        <v>82</v>
      </c>
      <c r="C11" s="25">
        <f>COUNTIF(CUSTOMERS!$H$2:$H$61,12)</f>
        <v>3</v>
      </c>
      <c r="D11" s="25">
        <f>COUNTIF(EMPLOYEES!$F$2:$F$61,12)</f>
        <v>2</v>
      </c>
      <c r="E11" s="25">
        <f>COUNTIF(ACCOUNTS!$G$2:$G$83,12)</f>
        <v>4</v>
      </c>
      <c r="F11" s="29">
        <f>SUMIF(ACCOUNTS!$G$2:$G$83,12,ACCOUNTS!$D$2:$D$83)</f>
        <v>86000</v>
      </c>
      <c r="G11" s="25">
        <f t="shared" si="0"/>
        <v>7</v>
      </c>
    </row>
    <row r="12" spans="1:8" x14ac:dyDescent="0.3">
      <c r="A12" s="24" t="s">
        <v>74</v>
      </c>
      <c r="B12" s="24" t="s">
        <v>100</v>
      </c>
      <c r="C12" s="25">
        <f>COUNTIF(CUSTOMERS!$H$2:$H$61,32)</f>
        <v>1</v>
      </c>
      <c r="D12" s="25">
        <f>COUNTIF(EMPLOYEES!$F$2:$F$61,32)</f>
        <v>0</v>
      </c>
      <c r="E12" s="25">
        <f>COUNTIF(ACCOUNTS!$G$2:$G$83,32)</f>
        <v>2</v>
      </c>
      <c r="F12" s="29">
        <f>SUMIF(ACCOUNTS!$G$2:$G$83,32,ACCOUNTS!$D$2:$D$83)</f>
        <v>84200</v>
      </c>
      <c r="G12" s="25">
        <f t="shared" si="0"/>
        <v>8</v>
      </c>
    </row>
    <row r="13" spans="1:8" x14ac:dyDescent="0.3">
      <c r="A13" s="24" t="s">
        <v>77</v>
      </c>
      <c r="B13" s="24" t="s">
        <v>52</v>
      </c>
      <c r="C13" s="25">
        <f>COUNTIF(CUSTOMERS!$H$2:$H$61,2)</f>
        <v>3</v>
      </c>
      <c r="D13" s="25">
        <f>COUNTIF(EMPLOYEES!$F$2:$F$61,2)</f>
        <v>4</v>
      </c>
      <c r="E13" s="25">
        <f>COUNTIF(ACCOUNTS!$G$2:$G$83,2)</f>
        <v>5</v>
      </c>
      <c r="F13" s="29">
        <f>SUMIF(ACCOUNTS!$G$2:$G$83,2,ACCOUNTS!$D$2:$D$83)</f>
        <v>83600</v>
      </c>
      <c r="G13" s="25">
        <f t="shared" si="0"/>
        <v>9</v>
      </c>
    </row>
    <row r="14" spans="1:8" x14ac:dyDescent="0.3">
      <c r="A14" s="24" t="s">
        <v>80</v>
      </c>
      <c r="B14" s="24" t="s">
        <v>58</v>
      </c>
      <c r="C14" s="25">
        <f>COUNTIF(CUSTOMERS!$H$2:$H$61,7)</f>
        <v>4</v>
      </c>
      <c r="D14" s="25">
        <f>COUNTIF(EMPLOYEES!$F$2:$F$61,7)</f>
        <v>2</v>
      </c>
      <c r="E14" s="25">
        <f>COUNTIF(ACCOUNTS!$G$2:$G$83,7)</f>
        <v>5</v>
      </c>
      <c r="F14" s="29">
        <f>SUMIF(ACCOUNTS!$G$2:$G$83,7,ACCOUNTS!$D$2:$D$83)</f>
        <v>77200</v>
      </c>
      <c r="G14" s="25">
        <f t="shared" si="0"/>
        <v>10</v>
      </c>
    </row>
    <row r="15" spans="1:8" x14ac:dyDescent="0.3">
      <c r="A15" s="24" t="s">
        <v>83</v>
      </c>
      <c r="B15" s="24" t="s">
        <v>52</v>
      </c>
      <c r="C15" s="25">
        <f>COUNTIF(CUSTOMERS!$H$2:$H$61,1)</f>
        <v>3</v>
      </c>
      <c r="D15" s="25">
        <f>COUNTIF(EMPLOYEES!$F$2:$F$61,1)</f>
        <v>4</v>
      </c>
      <c r="E15" s="25">
        <f>COUNTIF(ACCOUNTS!$G$2:$G$83,1)</f>
        <v>4</v>
      </c>
      <c r="F15" s="29">
        <f>SUMIF(ACCOUNTS!$G$2:$G$83,1,ACCOUNTS!$D$2:$D$83)</f>
        <v>53700</v>
      </c>
      <c r="G15" s="25">
        <f t="shared" si="0"/>
        <v>11</v>
      </c>
    </row>
    <row r="16" spans="1:8" x14ac:dyDescent="0.3">
      <c r="A16" s="24" t="s">
        <v>86</v>
      </c>
      <c r="B16" s="24" t="s">
        <v>85</v>
      </c>
      <c r="C16" s="25">
        <f>COUNTIF(CUSTOMERS!$H$2:$H$61,13)</f>
        <v>3</v>
      </c>
      <c r="D16" s="25">
        <f>COUNTIF(EMPLOYEES!$F$2:$F$61,13)</f>
        <v>2</v>
      </c>
      <c r="E16" s="25">
        <f>COUNTIF(ACCOUNTS!$G$2:$G$83,13)</f>
        <v>4</v>
      </c>
      <c r="F16" s="29">
        <f>SUMIF(ACCOUNTS!$G$2:$G$83,13,ACCOUNTS!$D$2:$D$83)</f>
        <v>47200</v>
      </c>
      <c r="G16" s="25">
        <f t="shared" si="0"/>
        <v>12</v>
      </c>
    </row>
    <row r="17" spans="1:7" x14ac:dyDescent="0.3">
      <c r="A17" s="24" t="s">
        <v>89</v>
      </c>
      <c r="B17" s="24" t="s">
        <v>108</v>
      </c>
      <c r="C17" s="25">
        <f>COUNTIF(CUSTOMERS!$H$2:$H$61,35)</f>
        <v>1</v>
      </c>
      <c r="D17" s="25">
        <f>COUNTIF(EMPLOYEES!$F$2:$F$61,35)</f>
        <v>0</v>
      </c>
      <c r="E17" s="25">
        <f>COUNTIF(ACCOUNTS!$G$2:$G$83,35)</f>
        <v>1</v>
      </c>
      <c r="F17" s="29">
        <f>SUMIF(ACCOUNTS!$G$2:$G$83,35,ACCOUNTS!$D$2:$D$83)</f>
        <v>44000</v>
      </c>
      <c r="G17" s="25">
        <f t="shared" si="0"/>
        <v>13</v>
      </c>
    </row>
    <row r="18" spans="1:7" x14ac:dyDescent="0.3">
      <c r="A18" s="24" t="s">
        <v>92</v>
      </c>
      <c r="B18" s="24" t="s">
        <v>117</v>
      </c>
      <c r="C18" s="25">
        <f>COUNTIF(CUSTOMERS!$H$2:$H$61,38)</f>
        <v>1</v>
      </c>
      <c r="D18" s="25">
        <f>COUNTIF(EMPLOYEES!$F$2:$F$61,38)</f>
        <v>0</v>
      </c>
      <c r="E18" s="25">
        <f>COUNTIF(ACCOUNTS!$G$2:$G$83,38)</f>
        <v>2</v>
      </c>
      <c r="F18" s="29">
        <f>SUMIF(ACCOUNTS!$G$2:$G$83,38,ACCOUNTS!$D$2:$D$83)</f>
        <v>42600</v>
      </c>
      <c r="G18" s="25">
        <f t="shared" si="0"/>
        <v>14</v>
      </c>
    </row>
    <row r="19" spans="1:7" x14ac:dyDescent="0.3">
      <c r="A19" s="24" t="s">
        <v>95</v>
      </c>
      <c r="B19" s="24" t="s">
        <v>70</v>
      </c>
      <c r="C19" s="25">
        <f>COUNTIF(CUSTOMERS!$H$2:$H$61,3)</f>
        <v>3</v>
      </c>
      <c r="D19" s="25">
        <f>COUNTIF(EMPLOYEES!$F$2:$F$61,3)</f>
        <v>4</v>
      </c>
      <c r="E19" s="25">
        <f>COUNTIF(ACCOUNTS!$G$2:$G$83,3)</f>
        <v>4</v>
      </c>
      <c r="F19" s="29">
        <f>SUMIF(ACCOUNTS!$G$2:$G$83,3,ACCOUNTS!$D$2:$D$83)</f>
        <v>37500</v>
      </c>
      <c r="G19" s="25">
        <f t="shared" si="0"/>
        <v>15</v>
      </c>
    </row>
    <row r="20" spans="1:7" x14ac:dyDescent="0.3">
      <c r="A20" s="24" t="s">
        <v>98</v>
      </c>
      <c r="B20" s="24" t="s">
        <v>94</v>
      </c>
      <c r="C20" s="25">
        <f>COUNTIF(CUSTOMERS!$H$2:$H$61,30)</f>
        <v>1</v>
      </c>
      <c r="D20" s="25">
        <f>COUNTIF(EMPLOYEES!$F$2:$F$61,30)</f>
        <v>0</v>
      </c>
      <c r="E20" s="25">
        <f>COUNTIF(ACCOUNTS!$G$2:$G$83,30)</f>
        <v>2</v>
      </c>
      <c r="F20" s="29">
        <f>SUMIF(ACCOUNTS!$G$2:$G$83,30,ACCOUNTS!$D$2:$D$83)</f>
        <v>36800</v>
      </c>
      <c r="G20" s="25">
        <f t="shared" si="0"/>
        <v>16</v>
      </c>
    </row>
    <row r="21" spans="1:7" x14ac:dyDescent="0.3">
      <c r="A21" s="24" t="s">
        <v>101</v>
      </c>
      <c r="B21" s="24" t="s">
        <v>91</v>
      </c>
      <c r="C21" s="25">
        <f>COUNTIF(CUSTOMERS!$H$2:$H$61,15)</f>
        <v>3</v>
      </c>
      <c r="D21" s="25">
        <f>COUNTIF(EMPLOYEES!$F$2:$F$61,15)</f>
        <v>2</v>
      </c>
      <c r="E21" s="25">
        <f>COUNTIF(ACCOUNTS!$G$2:$G$83,15)</f>
        <v>4</v>
      </c>
      <c r="F21" s="29">
        <f>SUMIF(ACCOUNTS!$G$2:$G$83,15,ACCOUNTS!$D$2:$D$83)</f>
        <v>34800</v>
      </c>
      <c r="G21" s="25">
        <f t="shared" si="0"/>
        <v>17</v>
      </c>
    </row>
    <row r="22" spans="1:7" x14ac:dyDescent="0.3">
      <c r="A22" s="24" t="s">
        <v>104</v>
      </c>
      <c r="B22" s="24" t="s">
        <v>67</v>
      </c>
      <c r="C22" s="25">
        <f>COUNTIF(CUSTOMERS!$H$2:$H$61,10)</f>
        <v>4</v>
      </c>
      <c r="D22" s="25">
        <f>COUNTIF(EMPLOYEES!$F$2:$F$61,10)</f>
        <v>2</v>
      </c>
      <c r="E22" s="25">
        <f>COUNTIF(ACCOUNTS!$G$2:$G$83,10)</f>
        <v>6</v>
      </c>
      <c r="F22" s="29">
        <f>SUMIF(ACCOUNTS!$G$2:$G$83,10,ACCOUNTS!$D$2:$D$83)</f>
        <v>30600</v>
      </c>
      <c r="G22" s="25">
        <f t="shared" si="0"/>
        <v>18</v>
      </c>
    </row>
    <row r="23" spans="1:7" x14ac:dyDescent="0.3">
      <c r="A23" s="24" t="s">
        <v>68</v>
      </c>
      <c r="B23" s="24" t="s">
        <v>106</v>
      </c>
      <c r="C23" s="25">
        <f>COUNTIF(CUSTOMERS!$H$2:$H$61,34)</f>
        <v>1</v>
      </c>
      <c r="D23" s="25">
        <f>COUNTIF(EMPLOYEES!$F$2:$F$61,34)</f>
        <v>0</v>
      </c>
      <c r="E23" s="25">
        <f>COUNTIF(ACCOUNTS!$G$2:$G$83,34)</f>
        <v>2</v>
      </c>
      <c r="F23" s="29">
        <f>SUMIF(ACCOUNTS!$G$2:$G$83,34,ACCOUNTS!$D$2:$D$83)</f>
        <v>24400</v>
      </c>
      <c r="G23" s="25">
        <f t="shared" si="0"/>
        <v>19</v>
      </c>
    </row>
    <row r="24" spans="1:7" x14ac:dyDescent="0.3">
      <c r="A24" s="24" t="s">
        <v>109</v>
      </c>
      <c r="B24" s="24" t="s">
        <v>97</v>
      </c>
      <c r="C24" s="25">
        <f>COUNTIF(CUSTOMERS!$H$2:$H$61,31)</f>
        <v>1</v>
      </c>
      <c r="D24" s="25">
        <f>COUNTIF(EMPLOYEES!$F$2:$F$61,31)</f>
        <v>0</v>
      </c>
      <c r="E24" s="25">
        <f>COUNTIF(ACCOUNTS!$G$2:$G$83,31)</f>
        <v>1</v>
      </c>
      <c r="F24" s="29">
        <f>SUMIF(ACCOUNTS!$G$2:$G$83,31,ACCOUNTS!$D$2:$D$83)</f>
        <v>15500</v>
      </c>
      <c r="G24" s="25">
        <f t="shared" si="0"/>
        <v>20</v>
      </c>
    </row>
    <row r="25" spans="1:7" x14ac:dyDescent="0.3">
      <c r="A25" s="24" t="s">
        <v>112</v>
      </c>
      <c r="B25" s="24" t="s">
        <v>114</v>
      </c>
      <c r="C25" s="25">
        <f>COUNTIF(CUSTOMERS!$H$2:$H$61,37)</f>
        <v>1</v>
      </c>
      <c r="D25" s="25">
        <f>COUNTIF(EMPLOYEES!$F$2:$F$61,37)</f>
        <v>0</v>
      </c>
      <c r="E25" s="25">
        <f>COUNTIF(ACCOUNTS!$G$2:$G$83,37)</f>
        <v>1</v>
      </c>
      <c r="F25" s="29">
        <f>SUMIF(ACCOUNTS!$G$2:$G$83,37,ACCOUNTS!$D$2:$D$83)</f>
        <v>13800</v>
      </c>
      <c r="G25" s="25">
        <f t="shared" si="0"/>
        <v>21</v>
      </c>
    </row>
    <row r="26" spans="1:7" x14ac:dyDescent="0.3">
      <c r="A26" s="24" t="s">
        <v>115</v>
      </c>
      <c r="B26" s="24" t="s">
        <v>103</v>
      </c>
      <c r="C26" s="25">
        <f>COUNTIF(CUSTOMERS!$H$2:$H$61,33)</f>
        <v>1</v>
      </c>
      <c r="D26" s="25">
        <f>COUNTIF(EMPLOYEES!$F$2:$F$61,33)</f>
        <v>0</v>
      </c>
      <c r="E26" s="25">
        <f>COUNTIF(ACCOUNTS!$G$2:$G$83,33)</f>
        <v>1</v>
      </c>
      <c r="F26" s="29">
        <f>SUMIF(ACCOUNTS!$G$2:$G$83,33,ACCOUNTS!$D$2:$D$83)</f>
        <v>9300</v>
      </c>
      <c r="G26" s="25">
        <f t="shared" si="0"/>
        <v>22</v>
      </c>
    </row>
    <row r="27" spans="1:7" x14ac:dyDescent="0.3">
      <c r="A27" s="24" t="s">
        <v>89</v>
      </c>
      <c r="B27" s="24" t="s">
        <v>119</v>
      </c>
      <c r="C27" s="25">
        <f>COUNTIF(CUSTOMERS!$H$2:$H$61,39)</f>
        <v>1</v>
      </c>
      <c r="D27" s="25">
        <f>COUNTIF(EMPLOYEES!$F$2:$F$61,39)</f>
        <v>0</v>
      </c>
      <c r="E27" s="25">
        <f>COUNTIF(ACCOUNTS!$G$2:$G$83,39)</f>
        <v>1</v>
      </c>
      <c r="F27" s="29">
        <f>SUMIF(ACCOUNTS!$G$2:$G$83,39,ACCOUNTS!$D$2:$D$83)</f>
        <v>8700</v>
      </c>
      <c r="G27" s="25">
        <f t="shared" si="0"/>
        <v>23</v>
      </c>
    </row>
    <row r="28" spans="1:7" x14ac:dyDescent="0.3">
      <c r="A28" s="24" t="s">
        <v>120</v>
      </c>
      <c r="B28" s="24" t="s">
        <v>111</v>
      </c>
      <c r="C28" s="25">
        <f>COUNTIF(CUSTOMERS!$H$2:$H$61,36)</f>
        <v>1</v>
      </c>
      <c r="D28" s="25">
        <f>COUNTIF(EMPLOYEES!$F$2:$F$61,36)</f>
        <v>0</v>
      </c>
      <c r="E28" s="25">
        <f>COUNTIF(ACCOUNTS!$G$2:$G$83,36)</f>
        <v>1</v>
      </c>
      <c r="F28" s="29">
        <f>SUMIF(ACCOUNTS!$G$2:$G$83,36,ACCOUNTS!$D$2:$D$83)</f>
        <v>7100</v>
      </c>
      <c r="G28" s="25">
        <f t="shared" si="0"/>
        <v>24</v>
      </c>
    </row>
    <row r="29" spans="1:7" x14ac:dyDescent="0.3">
      <c r="A29" s="24" t="s">
        <v>122</v>
      </c>
      <c r="B29" s="24" t="s">
        <v>76</v>
      </c>
      <c r="C29" s="25">
        <f>COUNTIF(CUSTOMERS!$H$2:$H$61,5)</f>
        <v>3</v>
      </c>
      <c r="D29" s="25">
        <f>COUNTIF(EMPLOYEES!$F$2:$F$61,5)</f>
        <v>3</v>
      </c>
      <c r="E29" s="25">
        <f>COUNTIF(ACCOUNTS!$G$2:$G$83,5)</f>
        <v>3</v>
      </c>
      <c r="F29" s="29">
        <f>SUMIF(ACCOUNTS!$G$2:$G$83,5,ACCOUNTS!$D$2:$D$83)</f>
        <v>2150</v>
      </c>
      <c r="G29" s="25">
        <f t="shared" si="0"/>
        <v>25</v>
      </c>
    </row>
    <row r="30" spans="1:7" x14ac:dyDescent="0.3">
      <c r="A30" s="24" t="s">
        <v>124</v>
      </c>
      <c r="B30" s="24" t="s">
        <v>52</v>
      </c>
      <c r="C30" s="25">
        <f>COUNTIF(CUSTOMERS!$H$2:$H$61,16)</f>
        <v>0</v>
      </c>
      <c r="D30" s="25">
        <f>COUNTIF(EMPLOYEES!$F$2:$F$61,16)</f>
        <v>2</v>
      </c>
      <c r="E30" s="25">
        <f>COUNTIF(ACCOUNTS!$G$2:$G$83,16)</f>
        <v>0</v>
      </c>
      <c r="F30" s="29">
        <f>SUMIF(ACCOUNTS!$G$2:$G$83,16,ACCOUNTS!$D$2:$D$83)</f>
        <v>0</v>
      </c>
      <c r="G30" s="25">
        <f t="shared" si="0"/>
        <v>26</v>
      </c>
    </row>
    <row r="31" spans="1:7" x14ac:dyDescent="0.3">
      <c r="A31" s="24" t="s">
        <v>126</v>
      </c>
      <c r="B31" s="24" t="s">
        <v>70</v>
      </c>
      <c r="C31" s="25">
        <f>COUNTIF(CUSTOMERS!$H$2:$H$61,17)</f>
        <v>0</v>
      </c>
      <c r="D31" s="25">
        <f>COUNTIF(EMPLOYEES!$F$2:$F$61,17)</f>
        <v>2</v>
      </c>
      <c r="E31" s="25">
        <f>COUNTIF(ACCOUNTS!$G$2:$G$83,17)</f>
        <v>0</v>
      </c>
      <c r="F31" s="29">
        <f>SUMIF(ACCOUNTS!$G$2:$G$83,17,ACCOUNTS!$D$2:$D$83)</f>
        <v>0</v>
      </c>
      <c r="G31" s="25">
        <f t="shared" si="0"/>
        <v>26</v>
      </c>
    </row>
    <row r="32" spans="1:7" x14ac:dyDescent="0.3">
      <c r="A32" s="24" t="s">
        <v>128</v>
      </c>
      <c r="B32" s="24" t="s">
        <v>73</v>
      </c>
      <c r="C32" s="25">
        <f>COUNTIF(CUSTOMERS!$H$2:$H$61,18)</f>
        <v>0</v>
      </c>
      <c r="D32" s="25">
        <f>COUNTIF(EMPLOYEES!$F$2:$F$61,18)</f>
        <v>2</v>
      </c>
      <c r="E32" s="25">
        <f>COUNTIF(ACCOUNTS!$G$2:$G$83,18)</f>
        <v>0</v>
      </c>
      <c r="F32" s="29">
        <f>SUMIF(ACCOUNTS!$G$2:$G$83,18,ACCOUNTS!$D$2:$D$83)</f>
        <v>0</v>
      </c>
      <c r="G32" s="25">
        <f t="shared" si="0"/>
        <v>26</v>
      </c>
    </row>
    <row r="33" spans="1:7" x14ac:dyDescent="0.3">
      <c r="A33" s="24" t="s">
        <v>130</v>
      </c>
      <c r="B33" s="24" t="s">
        <v>76</v>
      </c>
      <c r="C33" s="25">
        <f>COUNTIF(CUSTOMERS!$H$2:$H$61,19)</f>
        <v>0</v>
      </c>
      <c r="D33" s="25">
        <f>COUNTIF(EMPLOYEES!$F$2:$F$61,19)</f>
        <v>2</v>
      </c>
      <c r="E33" s="25">
        <f>COUNTIF(ACCOUNTS!$G$2:$G$83,19)</f>
        <v>0</v>
      </c>
      <c r="F33" s="29">
        <f>SUMIF(ACCOUNTS!$G$2:$G$83,19,ACCOUNTS!$D$2:$D$83)</f>
        <v>0</v>
      </c>
      <c r="G33" s="25">
        <f t="shared" si="0"/>
        <v>26</v>
      </c>
    </row>
    <row r="34" spans="1:7" x14ac:dyDescent="0.3">
      <c r="A34" s="24" t="s">
        <v>132</v>
      </c>
      <c r="B34" s="24" t="s">
        <v>55</v>
      </c>
      <c r="C34" s="25">
        <f>COUNTIF(CUSTOMERS!$H$2:$H$61,20)</f>
        <v>0</v>
      </c>
      <c r="D34" s="25">
        <f>COUNTIF(EMPLOYEES!$F$2:$F$61,20)</f>
        <v>2</v>
      </c>
      <c r="E34" s="25">
        <f>COUNTIF(ACCOUNTS!$G$2:$G$83,20)</f>
        <v>0</v>
      </c>
      <c r="F34" s="29">
        <f>SUMIF(ACCOUNTS!$G$2:$G$83,20,ACCOUNTS!$D$2:$D$83)</f>
        <v>0</v>
      </c>
      <c r="G34" s="25">
        <f t="shared" si="0"/>
        <v>26</v>
      </c>
    </row>
    <row r="35" spans="1:7" x14ac:dyDescent="0.3">
      <c r="A35" s="24" t="s">
        <v>89</v>
      </c>
      <c r="B35" s="24" t="s">
        <v>58</v>
      </c>
      <c r="C35" s="25">
        <f>COUNTIF(CUSTOMERS!$H$2:$H$61,21)</f>
        <v>0</v>
      </c>
      <c r="D35" s="25">
        <f>COUNTIF(EMPLOYEES!$F$2:$F$61,21)</f>
        <v>2</v>
      </c>
      <c r="E35" s="25">
        <f>COUNTIF(ACCOUNTS!$G$2:$G$83,21)</f>
        <v>0</v>
      </c>
      <c r="F35" s="29">
        <f>SUMIF(ACCOUNTS!$G$2:$G$83,21,ACCOUNTS!$D$2:$D$83)</f>
        <v>0</v>
      </c>
      <c r="G35" s="25">
        <f t="shared" si="0"/>
        <v>26</v>
      </c>
    </row>
    <row r="36" spans="1:7" x14ac:dyDescent="0.3">
      <c r="A36" s="24" t="s">
        <v>135</v>
      </c>
      <c r="B36" s="24" t="s">
        <v>61</v>
      </c>
      <c r="C36" s="25">
        <f>COUNTIF(CUSTOMERS!$H$2:$H$61,22)</f>
        <v>0</v>
      </c>
      <c r="D36" s="25">
        <f>COUNTIF(EMPLOYEES!$F$2:$F$61,22)</f>
        <v>2</v>
      </c>
      <c r="E36" s="25">
        <f>COUNTIF(ACCOUNTS!$G$2:$G$83,22)</f>
        <v>0</v>
      </c>
      <c r="F36" s="29">
        <f>SUMIF(ACCOUNTS!$G$2:$G$83,22,ACCOUNTS!$D$2:$D$83)</f>
        <v>0</v>
      </c>
      <c r="G36" s="25">
        <f t="shared" si="0"/>
        <v>26</v>
      </c>
    </row>
    <row r="37" spans="1:7" x14ac:dyDescent="0.3">
      <c r="A37" s="24" t="s">
        <v>137</v>
      </c>
      <c r="B37" s="24" t="s">
        <v>64</v>
      </c>
      <c r="C37" s="25">
        <f>COUNTIF(CUSTOMERS!$H$2:$H$61,23)</f>
        <v>0</v>
      </c>
      <c r="D37" s="25">
        <f>COUNTIF(EMPLOYEES!$F$2:$F$61,23)</f>
        <v>2</v>
      </c>
      <c r="E37" s="25">
        <f>COUNTIF(ACCOUNTS!$G$2:$G$83,23)</f>
        <v>0</v>
      </c>
      <c r="F37" s="29">
        <f>SUMIF(ACCOUNTS!$G$2:$G$83,23,ACCOUNTS!$D$2:$D$83)</f>
        <v>0</v>
      </c>
      <c r="G37" s="25">
        <f t="shared" ref="G37:G68" si="1">RANK(F37,$F$5:$F$64)</f>
        <v>26</v>
      </c>
    </row>
    <row r="38" spans="1:7" x14ac:dyDescent="0.3">
      <c r="A38" s="24" t="s">
        <v>139</v>
      </c>
      <c r="B38" s="24" t="s">
        <v>67</v>
      </c>
      <c r="C38" s="25">
        <f>COUNTIF(CUSTOMERS!$H$2:$H$61,24)</f>
        <v>0</v>
      </c>
      <c r="D38" s="25">
        <f>COUNTIF(EMPLOYEES!$F$2:$F$61,24)</f>
        <v>2</v>
      </c>
      <c r="E38" s="25">
        <f>COUNTIF(ACCOUNTS!$G$2:$G$83,24)</f>
        <v>0</v>
      </c>
      <c r="F38" s="29">
        <f>SUMIF(ACCOUNTS!$G$2:$G$83,24,ACCOUNTS!$D$2:$D$83)</f>
        <v>0</v>
      </c>
      <c r="G38" s="25">
        <f t="shared" si="1"/>
        <v>26</v>
      </c>
    </row>
    <row r="39" spans="1:7" x14ac:dyDescent="0.3">
      <c r="A39" s="24" t="s">
        <v>141</v>
      </c>
      <c r="B39" s="24" t="s">
        <v>79</v>
      </c>
      <c r="C39" s="25">
        <f>COUNTIF(CUSTOMERS!$H$2:$H$61,25)</f>
        <v>0</v>
      </c>
      <c r="D39" s="25">
        <f>COUNTIF(EMPLOYEES!$F$2:$F$61,25)</f>
        <v>2</v>
      </c>
      <c r="E39" s="25">
        <f>COUNTIF(ACCOUNTS!$G$2:$G$83,25)</f>
        <v>0</v>
      </c>
      <c r="F39" s="29">
        <f>SUMIF(ACCOUNTS!$G$2:$G$83,25,ACCOUNTS!$D$2:$D$83)</f>
        <v>0</v>
      </c>
      <c r="G39" s="25">
        <f t="shared" si="1"/>
        <v>26</v>
      </c>
    </row>
    <row r="40" spans="1:7" x14ac:dyDescent="0.3">
      <c r="A40" s="24" t="s">
        <v>143</v>
      </c>
      <c r="B40" s="24" t="s">
        <v>82</v>
      </c>
      <c r="C40" s="25">
        <f>COUNTIF(CUSTOMERS!$H$2:$H$61,26)</f>
        <v>0</v>
      </c>
      <c r="D40" s="25">
        <f>COUNTIF(EMPLOYEES!$F$2:$F$61,26)</f>
        <v>0</v>
      </c>
      <c r="E40" s="25">
        <f>COUNTIF(ACCOUNTS!$G$2:$G$83,26)</f>
        <v>0</v>
      </c>
      <c r="F40" s="29">
        <f>SUMIF(ACCOUNTS!$G$2:$G$83,26,ACCOUNTS!$D$2:$D$83)</f>
        <v>0</v>
      </c>
      <c r="G40" s="25">
        <f t="shared" si="1"/>
        <v>26</v>
      </c>
    </row>
    <row r="41" spans="1:7" x14ac:dyDescent="0.3">
      <c r="A41" s="24" t="s">
        <v>145</v>
      </c>
      <c r="B41" s="24" t="s">
        <v>85</v>
      </c>
      <c r="C41" s="25">
        <f>COUNTIF(CUSTOMERS!$H$2:$H$61,27)</f>
        <v>0</v>
      </c>
      <c r="D41" s="25">
        <f>COUNTIF(EMPLOYEES!$F$2:$F$61,27)</f>
        <v>0</v>
      </c>
      <c r="E41" s="25">
        <f>COUNTIF(ACCOUNTS!$G$2:$G$83,27)</f>
        <v>0</v>
      </c>
      <c r="F41" s="29">
        <f>SUMIF(ACCOUNTS!$G$2:$G$83,27,ACCOUNTS!$D$2:$D$83)</f>
        <v>0</v>
      </c>
      <c r="G41" s="25">
        <f t="shared" si="1"/>
        <v>26</v>
      </c>
    </row>
    <row r="42" spans="1:7" x14ac:dyDescent="0.3">
      <c r="A42" s="24" t="s">
        <v>147</v>
      </c>
      <c r="B42" s="24" t="s">
        <v>88</v>
      </c>
      <c r="C42" s="25">
        <f>COUNTIF(CUSTOMERS!$H$2:$H$61,28)</f>
        <v>0</v>
      </c>
      <c r="D42" s="25">
        <f>COUNTIF(EMPLOYEES!$F$2:$F$61,28)</f>
        <v>0</v>
      </c>
      <c r="E42" s="25">
        <f>COUNTIF(ACCOUNTS!$G$2:$G$83,28)</f>
        <v>0</v>
      </c>
      <c r="F42" s="29">
        <f>SUMIF(ACCOUNTS!$G$2:$G$83,28,ACCOUNTS!$D$2:$D$83)</f>
        <v>0</v>
      </c>
      <c r="G42" s="25">
        <f t="shared" si="1"/>
        <v>26</v>
      </c>
    </row>
    <row r="43" spans="1:7" x14ac:dyDescent="0.3">
      <c r="A43" s="24" t="s">
        <v>149</v>
      </c>
      <c r="B43" s="24" t="s">
        <v>91</v>
      </c>
      <c r="C43" s="25">
        <f>COUNTIF(CUSTOMERS!$H$2:$H$61,29)</f>
        <v>0</v>
      </c>
      <c r="D43" s="25">
        <f>COUNTIF(EMPLOYEES!$F$2:$F$61,29)</f>
        <v>0</v>
      </c>
      <c r="E43" s="25">
        <f>COUNTIF(ACCOUNTS!$G$2:$G$83,29)</f>
        <v>0</v>
      </c>
      <c r="F43" s="29">
        <f>SUMIF(ACCOUNTS!$G$2:$G$83,29,ACCOUNTS!$D$2:$D$83)</f>
        <v>0</v>
      </c>
      <c r="G43" s="25">
        <f t="shared" si="1"/>
        <v>26</v>
      </c>
    </row>
    <row r="44" spans="1:7" x14ac:dyDescent="0.3">
      <c r="A44" s="24" t="s">
        <v>151</v>
      </c>
      <c r="B44" s="24" t="s">
        <v>254</v>
      </c>
      <c r="C44" s="25">
        <f>COUNTIF(CUSTOMERS!$H$2:$H$61,40)</f>
        <v>0</v>
      </c>
      <c r="D44" s="25">
        <f>COUNTIF(EMPLOYEES!$F$2:$F$61,40)</f>
        <v>0</v>
      </c>
      <c r="E44" s="25">
        <f>COUNTIF(ACCOUNTS!$G$2:$G$83,40)</f>
        <v>0</v>
      </c>
      <c r="F44" s="29">
        <f>SUMIF(ACCOUNTS!$G$2:$G$83,40,ACCOUNTS!$D$2:$D$83)</f>
        <v>0</v>
      </c>
      <c r="G44" s="25">
        <f t="shared" si="1"/>
        <v>26</v>
      </c>
    </row>
    <row r="45" spans="1:7" x14ac:dyDescent="0.3">
      <c r="A45" s="24" t="s">
        <v>153</v>
      </c>
      <c r="B45" s="24" t="s">
        <v>255</v>
      </c>
      <c r="C45" s="25">
        <f>COUNTIF(CUSTOMERS!$H$2:$H$61,41)</f>
        <v>0</v>
      </c>
      <c r="D45" s="25">
        <f>COUNTIF(EMPLOYEES!$F$2:$F$61,41)</f>
        <v>0</v>
      </c>
      <c r="E45" s="25">
        <f>COUNTIF(ACCOUNTS!$G$2:$G$83,41)</f>
        <v>0</v>
      </c>
      <c r="F45" s="29">
        <f>SUMIF(ACCOUNTS!$G$2:$G$83,41,ACCOUNTS!$D$2:$D$83)</f>
        <v>0</v>
      </c>
      <c r="G45" s="25">
        <f t="shared" si="1"/>
        <v>26</v>
      </c>
    </row>
    <row r="46" spans="1:7" x14ac:dyDescent="0.3">
      <c r="A46" s="24" t="s">
        <v>71</v>
      </c>
      <c r="B46" s="24" t="s">
        <v>256</v>
      </c>
      <c r="C46" s="25">
        <f>COUNTIF(CUSTOMERS!$H$2:$H$61,42)</f>
        <v>0</v>
      </c>
      <c r="D46" s="25">
        <f>COUNTIF(EMPLOYEES!$F$2:$F$61,42)</f>
        <v>0</v>
      </c>
      <c r="E46" s="25">
        <f>COUNTIF(ACCOUNTS!$G$2:$G$83,42)</f>
        <v>0</v>
      </c>
      <c r="F46" s="29">
        <f>SUMIF(ACCOUNTS!$G$2:$G$83,42,ACCOUNTS!$D$2:$D$83)</f>
        <v>0</v>
      </c>
      <c r="G46" s="25">
        <f t="shared" si="1"/>
        <v>26</v>
      </c>
    </row>
    <row r="47" spans="1:7" x14ac:dyDescent="0.3">
      <c r="A47" s="24" t="s">
        <v>77</v>
      </c>
      <c r="B47" s="24" t="s">
        <v>257</v>
      </c>
      <c r="C47" s="25">
        <f>COUNTIF(CUSTOMERS!$H$2:$H$61,43)</f>
        <v>0</v>
      </c>
      <c r="D47" s="25">
        <f>COUNTIF(EMPLOYEES!$F$2:$F$61,43)</f>
        <v>0</v>
      </c>
      <c r="E47" s="25">
        <f>COUNTIF(ACCOUNTS!$G$2:$G$83,43)</f>
        <v>0</v>
      </c>
      <c r="F47" s="29">
        <f>SUMIF(ACCOUNTS!$G$2:$G$83,43,ACCOUNTS!$D$2:$D$83)</f>
        <v>0</v>
      </c>
      <c r="G47" s="25">
        <f t="shared" si="1"/>
        <v>26</v>
      </c>
    </row>
    <row r="48" spans="1:7" x14ac:dyDescent="0.3">
      <c r="A48" s="24" t="s">
        <v>157</v>
      </c>
      <c r="B48" s="24" t="s">
        <v>258</v>
      </c>
      <c r="C48" s="25">
        <f>COUNTIF(CUSTOMERS!$H$2:$H$61,44)</f>
        <v>0</v>
      </c>
      <c r="D48" s="25">
        <f>COUNTIF(EMPLOYEES!$F$2:$F$61,44)</f>
        <v>0</v>
      </c>
      <c r="E48" s="25">
        <f>COUNTIF(ACCOUNTS!$G$2:$G$83,44)</f>
        <v>0</v>
      </c>
      <c r="F48" s="29">
        <f>SUMIF(ACCOUNTS!$G$2:$G$83,44,ACCOUNTS!$D$2:$D$83)</f>
        <v>0</v>
      </c>
      <c r="G48" s="25">
        <f t="shared" si="1"/>
        <v>26</v>
      </c>
    </row>
    <row r="49" spans="1:7" x14ac:dyDescent="0.3">
      <c r="A49" s="24" t="s">
        <v>159</v>
      </c>
      <c r="B49" s="24" t="s">
        <v>259</v>
      </c>
      <c r="C49" s="25">
        <f>COUNTIF(CUSTOMERS!$H$2:$H$61,45)</f>
        <v>0</v>
      </c>
      <c r="D49" s="25">
        <f>COUNTIF(EMPLOYEES!$F$2:$F$61,45)</f>
        <v>0</v>
      </c>
      <c r="E49" s="25">
        <f>COUNTIF(ACCOUNTS!$G$2:$G$83,45)</f>
        <v>0</v>
      </c>
      <c r="F49" s="29">
        <f>SUMIF(ACCOUNTS!$G$2:$G$83,45,ACCOUNTS!$D$2:$D$83)</f>
        <v>0</v>
      </c>
      <c r="G49" s="25">
        <f t="shared" si="1"/>
        <v>26</v>
      </c>
    </row>
    <row r="50" spans="1:7" x14ac:dyDescent="0.3">
      <c r="A50" s="24" t="s">
        <v>161</v>
      </c>
      <c r="B50" s="24" t="s">
        <v>260</v>
      </c>
      <c r="C50" s="25">
        <f>COUNTIF(CUSTOMERS!$H$2:$H$61,46)</f>
        <v>0</v>
      </c>
      <c r="D50" s="25">
        <f>COUNTIF(EMPLOYEES!$F$2:$F$61,46)</f>
        <v>0</v>
      </c>
      <c r="E50" s="25">
        <f>COUNTIF(ACCOUNTS!$G$2:$G$83,46)</f>
        <v>0</v>
      </c>
      <c r="F50" s="29">
        <f>SUMIF(ACCOUNTS!$G$2:$G$83,46,ACCOUNTS!$D$2:$D$83)</f>
        <v>0</v>
      </c>
      <c r="G50" s="25">
        <f t="shared" si="1"/>
        <v>26</v>
      </c>
    </row>
    <row r="51" spans="1:7" x14ac:dyDescent="0.3">
      <c r="A51" s="24" t="s">
        <v>163</v>
      </c>
      <c r="B51" s="24" t="s">
        <v>261</v>
      </c>
      <c r="C51" s="25">
        <f>COUNTIF(CUSTOMERS!$H$2:$H$61,47)</f>
        <v>0</v>
      </c>
      <c r="D51" s="25">
        <f>COUNTIF(EMPLOYEES!$F$2:$F$61,47)</f>
        <v>0</v>
      </c>
      <c r="E51" s="25">
        <f>COUNTIF(ACCOUNTS!$G$2:$G$83,47)</f>
        <v>0</v>
      </c>
      <c r="F51" s="29">
        <f>SUMIF(ACCOUNTS!$G$2:$G$83,47,ACCOUNTS!$D$2:$D$83)</f>
        <v>0</v>
      </c>
      <c r="G51" s="25">
        <f t="shared" si="1"/>
        <v>26</v>
      </c>
    </row>
    <row r="52" spans="1:7" x14ac:dyDescent="0.3">
      <c r="A52" s="24" t="s">
        <v>165</v>
      </c>
      <c r="B52" s="24" t="s">
        <v>262</v>
      </c>
      <c r="C52" s="25">
        <f>COUNTIF(CUSTOMERS!$H$2:$H$61,48)</f>
        <v>0</v>
      </c>
      <c r="D52" s="25">
        <f>COUNTIF(EMPLOYEES!$F$2:$F$61,48)</f>
        <v>0</v>
      </c>
      <c r="E52" s="25">
        <f>COUNTIF(ACCOUNTS!$G$2:$G$83,48)</f>
        <v>0</v>
      </c>
      <c r="F52" s="29">
        <f>SUMIF(ACCOUNTS!$G$2:$G$83,48,ACCOUNTS!$D$2:$D$83)</f>
        <v>0</v>
      </c>
      <c r="G52" s="25">
        <f t="shared" si="1"/>
        <v>26</v>
      </c>
    </row>
    <row r="53" spans="1:7" x14ac:dyDescent="0.3">
      <c r="A53" s="24" t="s">
        <v>167</v>
      </c>
      <c r="B53" s="24" t="s">
        <v>263</v>
      </c>
      <c r="C53" s="25">
        <f>COUNTIF(CUSTOMERS!$H$2:$H$61,49)</f>
        <v>0</v>
      </c>
      <c r="D53" s="25">
        <f>COUNTIF(EMPLOYEES!$F$2:$F$61,49)</f>
        <v>0</v>
      </c>
      <c r="E53" s="25">
        <f>COUNTIF(ACCOUNTS!$G$2:$G$83,49)</f>
        <v>0</v>
      </c>
      <c r="F53" s="29">
        <f>SUMIF(ACCOUNTS!$G$2:$G$83,49,ACCOUNTS!$D$2:$D$83)</f>
        <v>0</v>
      </c>
      <c r="G53" s="25">
        <f t="shared" si="1"/>
        <v>26</v>
      </c>
    </row>
    <row r="54" spans="1:7" x14ac:dyDescent="0.3">
      <c r="A54" s="24" t="s">
        <v>68</v>
      </c>
      <c r="B54" s="24" t="s">
        <v>264</v>
      </c>
      <c r="C54" s="25">
        <f>COUNTIF(CUSTOMERS!$H$2:$H$61,50)</f>
        <v>0</v>
      </c>
      <c r="D54" s="25">
        <f>COUNTIF(EMPLOYEES!$F$2:$F$61,50)</f>
        <v>0</v>
      </c>
      <c r="E54" s="25">
        <f>COUNTIF(ACCOUNTS!$G$2:$G$83,50)</f>
        <v>0</v>
      </c>
      <c r="F54" s="29">
        <f>SUMIF(ACCOUNTS!$G$2:$G$83,50,ACCOUNTS!$D$2:$D$83)</f>
        <v>0</v>
      </c>
      <c r="G54" s="25">
        <f t="shared" si="1"/>
        <v>26</v>
      </c>
    </row>
    <row r="55" spans="1:7" x14ac:dyDescent="0.3">
      <c r="A55" s="24" t="s">
        <v>168</v>
      </c>
      <c r="B55" s="24" t="s">
        <v>265</v>
      </c>
      <c r="C55" s="25">
        <f>COUNTIF(CUSTOMERS!$H$2:$H$61,51)</f>
        <v>0</v>
      </c>
      <c r="D55" s="25">
        <f>COUNTIF(EMPLOYEES!$F$2:$F$61,51)</f>
        <v>0</v>
      </c>
      <c r="E55" s="25">
        <f>COUNTIF(ACCOUNTS!$G$2:$G$83,51)</f>
        <v>0</v>
      </c>
      <c r="F55" s="29">
        <f>SUMIF(ACCOUNTS!$G$2:$G$83,51,ACCOUNTS!$D$2:$D$83)</f>
        <v>0</v>
      </c>
      <c r="G55" s="25">
        <f t="shared" si="1"/>
        <v>26</v>
      </c>
    </row>
    <row r="56" spans="1:7" x14ac:dyDescent="0.3">
      <c r="A56" s="24" t="s">
        <v>169</v>
      </c>
      <c r="B56" s="24" t="s">
        <v>266</v>
      </c>
      <c r="C56" s="25">
        <f>COUNTIF(CUSTOMERS!$H$2:$H$61,52)</f>
        <v>0</v>
      </c>
      <c r="D56" s="25">
        <f>COUNTIF(EMPLOYEES!$F$2:$F$61,52)</f>
        <v>0</v>
      </c>
      <c r="E56" s="25">
        <f>COUNTIF(ACCOUNTS!$G$2:$G$83,52)</f>
        <v>0</v>
      </c>
      <c r="F56" s="29">
        <f>SUMIF(ACCOUNTS!$G$2:$G$83,52,ACCOUNTS!$D$2:$D$83)</f>
        <v>0</v>
      </c>
      <c r="G56" s="25">
        <f t="shared" si="1"/>
        <v>26</v>
      </c>
    </row>
    <row r="57" spans="1:7" x14ac:dyDescent="0.3">
      <c r="A57" s="24" t="s">
        <v>170</v>
      </c>
      <c r="B57" s="24" t="s">
        <v>267</v>
      </c>
      <c r="C57" s="25">
        <f>COUNTIF(CUSTOMERS!$H$2:$H$61,53)</f>
        <v>0</v>
      </c>
      <c r="D57" s="25">
        <f>COUNTIF(EMPLOYEES!$F$2:$F$61,53)</f>
        <v>0</v>
      </c>
      <c r="E57" s="25">
        <f>COUNTIF(ACCOUNTS!$G$2:$G$83,53)</f>
        <v>0</v>
      </c>
      <c r="F57" s="29">
        <f>SUMIF(ACCOUNTS!$G$2:$G$83,53,ACCOUNTS!$D$2:$D$83)</f>
        <v>0</v>
      </c>
      <c r="G57" s="25">
        <f t="shared" si="1"/>
        <v>26</v>
      </c>
    </row>
    <row r="58" spans="1:7" x14ac:dyDescent="0.3">
      <c r="A58" s="24" t="s">
        <v>89</v>
      </c>
      <c r="B58" s="24" t="s">
        <v>268</v>
      </c>
      <c r="C58" s="25">
        <f>COUNTIF(CUSTOMERS!$H$2:$H$61,54)</f>
        <v>0</v>
      </c>
      <c r="D58" s="25">
        <f>COUNTIF(EMPLOYEES!$F$2:$F$61,54)</f>
        <v>0</v>
      </c>
      <c r="E58" s="25">
        <f>COUNTIF(ACCOUNTS!$G$2:$G$83,54)</f>
        <v>0</v>
      </c>
      <c r="F58" s="29">
        <f>SUMIF(ACCOUNTS!$G$2:$G$83,54,ACCOUNTS!$D$2:$D$83)</f>
        <v>0</v>
      </c>
      <c r="G58" s="25">
        <f t="shared" si="1"/>
        <v>26</v>
      </c>
    </row>
    <row r="59" spans="1:7" x14ac:dyDescent="0.3">
      <c r="A59" s="24" t="s">
        <v>77</v>
      </c>
      <c r="B59" s="24" t="s">
        <v>269</v>
      </c>
      <c r="C59" s="25">
        <f>COUNTIF(CUSTOMERS!$H$2:$H$61,55)</f>
        <v>0</v>
      </c>
      <c r="D59" s="25">
        <f>COUNTIF(EMPLOYEES!$F$2:$F$61,55)</f>
        <v>0</v>
      </c>
      <c r="E59" s="25">
        <f>COUNTIF(ACCOUNTS!$G$2:$G$83,55)</f>
        <v>0</v>
      </c>
      <c r="F59" s="29">
        <f>SUMIF(ACCOUNTS!$G$2:$G$83,55,ACCOUNTS!$D$2:$D$83)</f>
        <v>0</v>
      </c>
      <c r="G59" s="25">
        <f t="shared" si="1"/>
        <v>26</v>
      </c>
    </row>
    <row r="60" spans="1:7" x14ac:dyDescent="0.3">
      <c r="A60" s="24" t="s">
        <v>171</v>
      </c>
      <c r="B60" s="24" t="s">
        <v>270</v>
      </c>
      <c r="C60" s="25">
        <f>COUNTIF(CUSTOMERS!$H$2:$H$61,56)</f>
        <v>0</v>
      </c>
      <c r="D60" s="25">
        <f>COUNTIF(EMPLOYEES!$F$2:$F$61,56)</f>
        <v>0</v>
      </c>
      <c r="E60" s="25">
        <f>COUNTIF(ACCOUNTS!$G$2:$G$83,56)</f>
        <v>0</v>
      </c>
      <c r="F60" s="29">
        <f>SUMIF(ACCOUNTS!$G$2:$G$83,56,ACCOUNTS!$D$2:$D$83)</f>
        <v>0</v>
      </c>
      <c r="G60" s="25">
        <f t="shared" si="1"/>
        <v>26</v>
      </c>
    </row>
    <row r="61" spans="1:7" x14ac:dyDescent="0.3">
      <c r="A61" s="24" t="s">
        <v>168</v>
      </c>
      <c r="B61" s="24" t="s">
        <v>271</v>
      </c>
      <c r="C61" s="25">
        <f>COUNTIF(CUSTOMERS!$H$2:$H$61,57)</f>
        <v>0</v>
      </c>
      <c r="D61" s="25">
        <f>COUNTIF(EMPLOYEES!$F$2:$F$61,57)</f>
        <v>0</v>
      </c>
      <c r="E61" s="25">
        <f>COUNTIF(ACCOUNTS!$G$2:$G$83,57)</f>
        <v>0</v>
      </c>
      <c r="F61" s="29">
        <f>SUMIF(ACCOUNTS!$G$2:$G$83,57,ACCOUNTS!$D$2:$D$83)</f>
        <v>0</v>
      </c>
      <c r="G61" s="25">
        <f t="shared" si="1"/>
        <v>26</v>
      </c>
    </row>
    <row r="62" spans="1:7" x14ac:dyDescent="0.3">
      <c r="A62" s="24" t="s">
        <v>172</v>
      </c>
      <c r="B62" s="24" t="s">
        <v>272</v>
      </c>
      <c r="C62" s="25">
        <f>COUNTIF(CUSTOMERS!$H$2:$H$61,58)</f>
        <v>0</v>
      </c>
      <c r="D62" s="25">
        <f>COUNTIF(EMPLOYEES!$F$2:$F$61,58)</f>
        <v>0</v>
      </c>
      <c r="E62" s="25">
        <f>COUNTIF(ACCOUNTS!$G$2:$G$83,58)</f>
        <v>0</v>
      </c>
      <c r="F62" s="29">
        <f>SUMIF(ACCOUNTS!$G$2:$G$83,58,ACCOUNTS!$D$2:$D$83)</f>
        <v>0</v>
      </c>
      <c r="G62" s="25">
        <f t="shared" si="1"/>
        <v>26</v>
      </c>
    </row>
    <row r="63" spans="1:7" x14ac:dyDescent="0.3">
      <c r="A63" s="24" t="s">
        <v>169</v>
      </c>
      <c r="B63" s="24" t="s">
        <v>273</v>
      </c>
      <c r="C63" s="25">
        <f>COUNTIF(CUSTOMERS!$H$2:$H$61,59)</f>
        <v>0</v>
      </c>
      <c r="D63" s="25">
        <f>COUNTIF(EMPLOYEES!$F$2:$F$61,59)</f>
        <v>0</v>
      </c>
      <c r="E63" s="25">
        <f>COUNTIF(ACCOUNTS!$G$2:$G$83,59)</f>
        <v>0</v>
      </c>
      <c r="F63" s="29">
        <f>SUMIF(ACCOUNTS!$G$2:$G$83,59,ACCOUNTS!$D$2:$D$83)</f>
        <v>0</v>
      </c>
      <c r="G63" s="25">
        <f t="shared" si="1"/>
        <v>26</v>
      </c>
    </row>
    <row r="64" spans="1:7" x14ac:dyDescent="0.3">
      <c r="A64" s="24" t="s">
        <v>173</v>
      </c>
      <c r="B64" s="24" t="s">
        <v>274</v>
      </c>
      <c r="C64" s="25">
        <f>COUNTIF(CUSTOMERS!$H$2:$H$61,60)</f>
        <v>0</v>
      </c>
      <c r="D64" s="25">
        <f>COUNTIF(EMPLOYEES!$F$2:$F$61,60)</f>
        <v>0</v>
      </c>
      <c r="E64" s="25">
        <f>COUNTIF(ACCOUNTS!$G$2:$G$83,60)</f>
        <v>0</v>
      </c>
      <c r="F64" s="29">
        <f>SUMIF(ACCOUNTS!$G$2:$G$83,60,ACCOUNTS!$D$2:$D$83)</f>
        <v>0</v>
      </c>
      <c r="G64" s="25">
        <f t="shared" si="1"/>
        <v>26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zoomScaleNormal="100" workbookViewId="0">
      <selection sqref="A1:H1"/>
    </sheetView>
  </sheetViews>
  <sheetFormatPr defaultColWidth="8.6640625" defaultRowHeight="14.4" x14ac:dyDescent="0.3"/>
  <cols>
    <col min="1" max="1" width="22" customWidth="1"/>
    <col min="2" max="5" width="15" customWidth="1"/>
  </cols>
  <sheetData>
    <row r="1" spans="1:8" ht="25.5" customHeight="1" x14ac:dyDescent="0.3">
      <c r="A1" s="3" t="s">
        <v>275</v>
      </c>
      <c r="B1" s="3"/>
      <c r="C1" s="3"/>
      <c r="D1" s="3"/>
      <c r="E1" s="3"/>
      <c r="F1" s="3"/>
      <c r="G1" s="3"/>
      <c r="H1" s="3"/>
    </row>
    <row r="2" spans="1:8" x14ac:dyDescent="0.3">
      <c r="A2" s="2" t="s">
        <v>276</v>
      </c>
      <c r="B2" s="2"/>
      <c r="C2" s="2"/>
      <c r="D2" s="2"/>
      <c r="E2" s="2"/>
      <c r="F2" s="2"/>
      <c r="G2" s="2"/>
      <c r="H2" s="2"/>
    </row>
    <row r="4" spans="1:8" ht="19.5" customHeight="1" x14ac:dyDescent="0.3">
      <c r="A4" s="1" t="s">
        <v>277</v>
      </c>
      <c r="B4" s="1"/>
      <c r="C4" s="1"/>
      <c r="D4" s="1"/>
    </row>
    <row r="5" spans="1:8" ht="24" customHeight="1" x14ac:dyDescent="0.3">
      <c r="A5" s="23" t="s">
        <v>49</v>
      </c>
      <c r="B5" s="23" t="s">
        <v>185</v>
      </c>
      <c r="C5" s="23" t="s">
        <v>186</v>
      </c>
      <c r="D5" s="23" t="s">
        <v>278</v>
      </c>
    </row>
    <row r="6" spans="1:8" x14ac:dyDescent="0.3">
      <c r="A6" s="24" t="s">
        <v>83</v>
      </c>
      <c r="B6" s="25">
        <f>COUNTIFS(ACCOUNTS!$G$2:$G$83,1,ACCOUNTS!$C$2:$C$83,"SAVINGS")</f>
        <v>3</v>
      </c>
      <c r="C6" s="25">
        <f>COUNTIFS(ACCOUNTS!$G$2:$G$83,1,ACCOUNTS!$C$2:$C$83,"CHECKING")</f>
        <v>1</v>
      </c>
      <c r="D6" s="25">
        <f t="shared" ref="D6:D30" si="0">B6+C6</f>
        <v>4</v>
      </c>
    </row>
    <row r="7" spans="1:8" x14ac:dyDescent="0.3">
      <c r="A7" s="24" t="s">
        <v>77</v>
      </c>
      <c r="B7" s="25">
        <f>COUNTIFS(ACCOUNTS!$G$2:$G$83,2,ACCOUNTS!$C$2:$C$83,"SAVINGS")</f>
        <v>2</v>
      </c>
      <c r="C7" s="25">
        <f>COUNTIFS(ACCOUNTS!$G$2:$G$83,2,ACCOUNTS!$C$2:$C$83,"CHECKING")</f>
        <v>3</v>
      </c>
      <c r="D7" s="25">
        <f t="shared" si="0"/>
        <v>5</v>
      </c>
    </row>
    <row r="8" spans="1:8" x14ac:dyDescent="0.3">
      <c r="A8" s="24" t="s">
        <v>95</v>
      </c>
      <c r="B8" s="25">
        <f>COUNTIFS(ACCOUNTS!$G$2:$G$83,3,ACCOUNTS!$C$2:$C$83,"SAVINGS")</f>
        <v>2</v>
      </c>
      <c r="C8" s="25">
        <f>COUNTIFS(ACCOUNTS!$G$2:$G$83,3,ACCOUNTS!$C$2:$C$83,"CHECKING")</f>
        <v>2</v>
      </c>
      <c r="D8" s="25">
        <f t="shared" si="0"/>
        <v>4</v>
      </c>
    </row>
    <row r="9" spans="1:8" x14ac:dyDescent="0.3">
      <c r="A9" s="24" t="s">
        <v>59</v>
      </c>
      <c r="B9" s="25">
        <f>COUNTIFS(ACCOUNTS!$G$2:$G$83,4,ACCOUNTS!$C$2:$C$83,"SAVINGS")</f>
        <v>3</v>
      </c>
      <c r="C9" s="25">
        <f>COUNTIFS(ACCOUNTS!$G$2:$G$83,4,ACCOUNTS!$C$2:$C$83,"CHECKING")</f>
        <v>1</v>
      </c>
      <c r="D9" s="25">
        <f t="shared" si="0"/>
        <v>4</v>
      </c>
    </row>
    <row r="10" spans="1:8" x14ac:dyDescent="0.3">
      <c r="A10" s="24" t="s">
        <v>122</v>
      </c>
      <c r="B10" s="25">
        <f>COUNTIFS(ACCOUNTS!$G$2:$G$83,5,ACCOUNTS!$C$2:$C$83,"SAVINGS")</f>
        <v>0</v>
      </c>
      <c r="C10" s="25">
        <f>COUNTIFS(ACCOUNTS!$G$2:$G$83,5,ACCOUNTS!$C$2:$C$83,"CHECKING")</f>
        <v>3</v>
      </c>
      <c r="D10" s="25">
        <f t="shared" si="0"/>
        <v>3</v>
      </c>
    </row>
    <row r="11" spans="1:8" x14ac:dyDescent="0.3">
      <c r="A11" s="24" t="s">
        <v>62</v>
      </c>
      <c r="B11" s="25">
        <f>COUNTIFS(ACCOUNTS!$G$2:$G$83,6,ACCOUNTS!$C$2:$C$83,"SAVINGS")</f>
        <v>4</v>
      </c>
      <c r="C11" s="25">
        <f>COUNTIFS(ACCOUNTS!$G$2:$G$83,6,ACCOUNTS!$C$2:$C$83,"CHECKING")</f>
        <v>2</v>
      </c>
      <c r="D11" s="25">
        <f t="shared" si="0"/>
        <v>6</v>
      </c>
    </row>
    <row r="12" spans="1:8" x14ac:dyDescent="0.3">
      <c r="A12" s="24" t="s">
        <v>80</v>
      </c>
      <c r="B12" s="25">
        <f>COUNTIFS(ACCOUNTS!$G$2:$G$83,7,ACCOUNTS!$C$2:$C$83,"SAVINGS")</f>
        <v>2</v>
      </c>
      <c r="C12" s="25">
        <f>COUNTIFS(ACCOUNTS!$G$2:$G$83,7,ACCOUNTS!$C$2:$C$83,"CHECKING")</f>
        <v>3</v>
      </c>
      <c r="D12" s="25">
        <f t="shared" si="0"/>
        <v>5</v>
      </c>
    </row>
    <row r="13" spans="1:8" x14ac:dyDescent="0.3">
      <c r="A13" s="24" t="s">
        <v>56</v>
      </c>
      <c r="B13" s="25">
        <f>COUNTIFS(ACCOUNTS!$G$2:$G$83,8,ACCOUNTS!$C$2:$C$83,"SAVINGS")</f>
        <v>3</v>
      </c>
      <c r="C13" s="25">
        <f>COUNTIFS(ACCOUNTS!$G$2:$G$83,8,ACCOUNTS!$C$2:$C$83,"CHECKING")</f>
        <v>2</v>
      </c>
      <c r="D13" s="25">
        <f t="shared" si="0"/>
        <v>5</v>
      </c>
    </row>
    <row r="14" spans="1:8" x14ac:dyDescent="0.3">
      <c r="A14" s="24" t="s">
        <v>65</v>
      </c>
      <c r="B14" s="25">
        <f>COUNTIFS(ACCOUNTS!$G$2:$G$83,9,ACCOUNTS!$C$2:$C$83,"SAVINGS")</f>
        <v>3</v>
      </c>
      <c r="C14" s="25">
        <f>COUNTIFS(ACCOUNTS!$G$2:$G$83,9,ACCOUNTS!$C$2:$C$83,"CHECKING")</f>
        <v>2</v>
      </c>
      <c r="D14" s="25">
        <f t="shared" si="0"/>
        <v>5</v>
      </c>
    </row>
    <row r="15" spans="1:8" x14ac:dyDescent="0.3">
      <c r="A15" s="24" t="s">
        <v>104</v>
      </c>
      <c r="B15" s="25">
        <f>COUNTIFS(ACCOUNTS!$G$2:$G$83,10,ACCOUNTS!$C$2:$C$83,"SAVINGS")</f>
        <v>2</v>
      </c>
      <c r="C15" s="25">
        <f>COUNTIFS(ACCOUNTS!$G$2:$G$83,10,ACCOUNTS!$C$2:$C$83,"CHECKING")</f>
        <v>4</v>
      </c>
      <c r="D15" s="25">
        <f t="shared" si="0"/>
        <v>6</v>
      </c>
    </row>
    <row r="16" spans="1:8" x14ac:dyDescent="0.3">
      <c r="A16" s="24" t="s">
        <v>53</v>
      </c>
      <c r="B16" s="25">
        <f>COUNTIFS(ACCOUNTS!$G$2:$G$83,11,ACCOUNTS!$C$2:$C$83,"SAVINGS")</f>
        <v>3</v>
      </c>
      <c r="C16" s="25">
        <f>COUNTIFS(ACCOUNTS!$G$2:$G$83,11,ACCOUNTS!$C$2:$C$83,"CHECKING")</f>
        <v>2</v>
      </c>
      <c r="D16" s="25">
        <f t="shared" si="0"/>
        <v>5</v>
      </c>
    </row>
    <row r="17" spans="1:4" x14ac:dyDescent="0.3">
      <c r="A17" s="24" t="s">
        <v>71</v>
      </c>
      <c r="B17" s="25">
        <f>COUNTIFS(ACCOUNTS!$G$2:$G$83,12,ACCOUNTS!$C$2:$C$83,"SAVINGS")</f>
        <v>3</v>
      </c>
      <c r="C17" s="25">
        <f>COUNTIFS(ACCOUNTS!$G$2:$G$83,12,ACCOUNTS!$C$2:$C$83,"CHECKING")</f>
        <v>1</v>
      </c>
      <c r="D17" s="25">
        <f t="shared" si="0"/>
        <v>4</v>
      </c>
    </row>
    <row r="18" spans="1:4" x14ac:dyDescent="0.3">
      <c r="A18" s="24" t="s">
        <v>86</v>
      </c>
      <c r="B18" s="25">
        <f>COUNTIFS(ACCOUNTS!$G$2:$G$83,13,ACCOUNTS!$C$2:$C$83,"SAVINGS")</f>
        <v>1</v>
      </c>
      <c r="C18" s="25">
        <f>COUNTIFS(ACCOUNTS!$G$2:$G$83,13,ACCOUNTS!$C$2:$C$83,"CHECKING")</f>
        <v>3</v>
      </c>
      <c r="D18" s="25">
        <f t="shared" si="0"/>
        <v>4</v>
      </c>
    </row>
    <row r="19" spans="1:4" x14ac:dyDescent="0.3">
      <c r="A19" s="24" t="s">
        <v>68</v>
      </c>
      <c r="B19" s="25">
        <f>COUNTIFS(ACCOUNTS!$G$2:$G$83,14,ACCOUNTS!$C$2:$C$83,"SAVINGS")</f>
        <v>3</v>
      </c>
      <c r="C19" s="25">
        <f>COUNTIFS(ACCOUNTS!$G$2:$G$83,14,ACCOUNTS!$C$2:$C$83,"CHECKING")</f>
        <v>1</v>
      </c>
      <c r="D19" s="25">
        <f t="shared" si="0"/>
        <v>4</v>
      </c>
    </row>
    <row r="20" spans="1:4" x14ac:dyDescent="0.3">
      <c r="A20" s="24" t="s">
        <v>101</v>
      </c>
      <c r="B20" s="25">
        <f>COUNTIFS(ACCOUNTS!$G$2:$G$83,15,ACCOUNTS!$C$2:$C$83,"SAVINGS")</f>
        <v>2</v>
      </c>
      <c r="C20" s="25">
        <f>COUNTIFS(ACCOUNTS!$G$2:$G$83,15,ACCOUNTS!$C$2:$C$83,"CHECKING")</f>
        <v>2</v>
      </c>
      <c r="D20" s="25">
        <f t="shared" si="0"/>
        <v>4</v>
      </c>
    </row>
    <row r="21" spans="1:4" x14ac:dyDescent="0.3">
      <c r="A21" s="24" t="s">
        <v>98</v>
      </c>
      <c r="B21" s="25">
        <f>COUNTIFS(ACCOUNTS!$G$2:$G$83,30,ACCOUNTS!$C$2:$C$83,"SAVINGS")</f>
        <v>1</v>
      </c>
      <c r="C21" s="25">
        <f>COUNTIFS(ACCOUNTS!$G$2:$G$83,30,ACCOUNTS!$C$2:$C$83,"CHECKING")</f>
        <v>1</v>
      </c>
      <c r="D21" s="25">
        <f t="shared" si="0"/>
        <v>2</v>
      </c>
    </row>
    <row r="22" spans="1:4" x14ac:dyDescent="0.3">
      <c r="A22" s="24" t="s">
        <v>109</v>
      </c>
      <c r="B22" s="25">
        <f>COUNTIFS(ACCOUNTS!$G$2:$G$83,31,ACCOUNTS!$C$2:$C$83,"SAVINGS")</f>
        <v>1</v>
      </c>
      <c r="C22" s="25">
        <f>COUNTIFS(ACCOUNTS!$G$2:$G$83,31,ACCOUNTS!$C$2:$C$83,"CHECKING")</f>
        <v>0</v>
      </c>
      <c r="D22" s="25">
        <f t="shared" si="0"/>
        <v>1</v>
      </c>
    </row>
    <row r="23" spans="1:4" x14ac:dyDescent="0.3">
      <c r="A23" s="24" t="s">
        <v>74</v>
      </c>
      <c r="B23" s="25">
        <f>COUNTIFS(ACCOUNTS!$G$2:$G$83,32,ACCOUNTS!$C$2:$C$83,"SAVINGS")</f>
        <v>1</v>
      </c>
      <c r="C23" s="25">
        <f>COUNTIFS(ACCOUNTS!$G$2:$G$83,32,ACCOUNTS!$C$2:$C$83,"CHECKING")</f>
        <v>1</v>
      </c>
      <c r="D23" s="25">
        <f t="shared" si="0"/>
        <v>2</v>
      </c>
    </row>
    <row r="24" spans="1:4" x14ac:dyDescent="0.3">
      <c r="A24" s="24" t="s">
        <v>115</v>
      </c>
      <c r="B24" s="25">
        <f>COUNTIFS(ACCOUNTS!$G$2:$G$83,33,ACCOUNTS!$C$2:$C$83,"SAVINGS")</f>
        <v>1</v>
      </c>
      <c r="C24" s="25">
        <f>COUNTIFS(ACCOUNTS!$G$2:$G$83,33,ACCOUNTS!$C$2:$C$83,"CHECKING")</f>
        <v>0</v>
      </c>
      <c r="D24" s="25">
        <f t="shared" si="0"/>
        <v>1</v>
      </c>
    </row>
    <row r="25" spans="1:4" x14ac:dyDescent="0.3">
      <c r="A25" s="24" t="s">
        <v>68</v>
      </c>
      <c r="B25" s="25">
        <f>COUNTIFS(ACCOUNTS!$G$2:$G$83,34,ACCOUNTS!$C$2:$C$83,"SAVINGS")</f>
        <v>1</v>
      </c>
      <c r="C25" s="25">
        <f>COUNTIFS(ACCOUNTS!$G$2:$G$83,34,ACCOUNTS!$C$2:$C$83,"CHECKING")</f>
        <v>1</v>
      </c>
      <c r="D25" s="25">
        <f t="shared" si="0"/>
        <v>2</v>
      </c>
    </row>
    <row r="26" spans="1:4" x14ac:dyDescent="0.3">
      <c r="A26" s="24" t="s">
        <v>89</v>
      </c>
      <c r="B26" s="25">
        <f>COUNTIFS(ACCOUNTS!$G$2:$G$83,35,ACCOUNTS!$C$2:$C$83,"SAVINGS")</f>
        <v>1</v>
      </c>
      <c r="C26" s="25">
        <f>COUNTIFS(ACCOUNTS!$G$2:$G$83,35,ACCOUNTS!$C$2:$C$83,"CHECKING")</f>
        <v>0</v>
      </c>
      <c r="D26" s="25">
        <f t="shared" si="0"/>
        <v>1</v>
      </c>
    </row>
    <row r="27" spans="1:4" x14ac:dyDescent="0.3">
      <c r="A27" s="24" t="s">
        <v>120</v>
      </c>
      <c r="B27" s="25">
        <f>COUNTIFS(ACCOUNTS!$G$2:$G$83,36,ACCOUNTS!$C$2:$C$83,"SAVINGS")</f>
        <v>0</v>
      </c>
      <c r="C27" s="25">
        <f>COUNTIFS(ACCOUNTS!$G$2:$G$83,36,ACCOUNTS!$C$2:$C$83,"CHECKING")</f>
        <v>1</v>
      </c>
      <c r="D27" s="25">
        <f t="shared" si="0"/>
        <v>1</v>
      </c>
    </row>
    <row r="28" spans="1:4" x14ac:dyDescent="0.3">
      <c r="A28" s="24" t="s">
        <v>112</v>
      </c>
      <c r="B28" s="25">
        <f>COUNTIFS(ACCOUNTS!$G$2:$G$83,37,ACCOUNTS!$C$2:$C$83,"SAVINGS")</f>
        <v>1</v>
      </c>
      <c r="C28" s="25">
        <f>COUNTIFS(ACCOUNTS!$G$2:$G$83,37,ACCOUNTS!$C$2:$C$83,"CHECKING")</f>
        <v>0</v>
      </c>
      <c r="D28" s="25">
        <f t="shared" si="0"/>
        <v>1</v>
      </c>
    </row>
    <row r="29" spans="1:4" x14ac:dyDescent="0.3">
      <c r="A29" s="24" t="s">
        <v>92</v>
      </c>
      <c r="B29" s="25">
        <f>COUNTIFS(ACCOUNTS!$G$2:$G$83,38,ACCOUNTS!$C$2:$C$83,"SAVINGS")</f>
        <v>1</v>
      </c>
      <c r="C29" s="25">
        <f>COUNTIFS(ACCOUNTS!$G$2:$G$83,38,ACCOUNTS!$C$2:$C$83,"CHECKING")</f>
        <v>1</v>
      </c>
      <c r="D29" s="25">
        <f t="shared" si="0"/>
        <v>2</v>
      </c>
    </row>
    <row r="30" spans="1:4" x14ac:dyDescent="0.3">
      <c r="A30" s="24" t="s">
        <v>89</v>
      </c>
      <c r="B30" s="25">
        <f>COUNTIFS(ACCOUNTS!$G$2:$G$83,39,ACCOUNTS!$C$2:$C$83,"SAVINGS")</f>
        <v>1</v>
      </c>
      <c r="C30" s="25">
        <f>COUNTIFS(ACCOUNTS!$G$2:$G$83,39,ACCOUNTS!$C$2:$C$83,"CHECKING")</f>
        <v>0</v>
      </c>
      <c r="D30" s="25">
        <f t="shared" si="0"/>
        <v>1</v>
      </c>
    </row>
    <row r="31" spans="1:4" x14ac:dyDescent="0.3">
      <c r="A31" s="33" t="s">
        <v>279</v>
      </c>
      <c r="B31" s="34">
        <f>SUM(B6:B30)</f>
        <v>45</v>
      </c>
      <c r="C31" s="34">
        <f>SUM(C6:C30)</f>
        <v>37</v>
      </c>
      <c r="D31" s="34">
        <f>SUM(D6:D30)</f>
        <v>82</v>
      </c>
    </row>
    <row r="33" spans="1:5" ht="19.5" customHeight="1" x14ac:dyDescent="0.3">
      <c r="A33" s="1" t="s">
        <v>280</v>
      </c>
      <c r="B33" s="1"/>
      <c r="C33" s="1"/>
      <c r="D33" s="1"/>
      <c r="E33" s="1"/>
    </row>
    <row r="34" spans="1:5" ht="24" customHeight="1" x14ac:dyDescent="0.3">
      <c r="A34" s="23" t="s">
        <v>231</v>
      </c>
      <c r="B34" s="23" t="s">
        <v>176</v>
      </c>
      <c r="C34" s="23" t="s">
        <v>227</v>
      </c>
      <c r="D34" s="23" t="s">
        <v>281</v>
      </c>
      <c r="E34" s="23" t="s">
        <v>207</v>
      </c>
    </row>
    <row r="35" spans="1:5" x14ac:dyDescent="0.3">
      <c r="A35" s="24" t="s">
        <v>236</v>
      </c>
      <c r="B35" s="25">
        <f>COUNTIFS(LOANS!$C$2:$C$61,A35,LOANS!$H$2:$H$61,"ACTIVE")</f>
        <v>17</v>
      </c>
      <c r="C35" s="25">
        <f>COUNTIFS(LOANS!$C$2:$C$61,A35,LOANS!$H$2:$H$61,"PAID")</f>
        <v>0</v>
      </c>
      <c r="D35" s="25">
        <f>B35+C35</f>
        <v>17</v>
      </c>
      <c r="E35" s="29">
        <f>SUMIF(LOANS!$C$2:$C$61,A35,LOANS!$D$2:$D$61)</f>
        <v>3710000</v>
      </c>
    </row>
    <row r="36" spans="1:5" x14ac:dyDescent="0.3">
      <c r="A36" s="24" t="s">
        <v>237</v>
      </c>
      <c r="B36" s="25">
        <f>COUNTIFS(LOANS!$C$2:$C$61,A36,LOANS!$H$2:$H$61,"ACTIVE")</f>
        <v>9</v>
      </c>
      <c r="C36" s="25">
        <f>COUNTIFS(LOANS!$C$2:$C$61,A36,LOANS!$H$2:$H$61,"PAID")</f>
        <v>0</v>
      </c>
      <c r="D36" s="25">
        <f>B36+C36</f>
        <v>9</v>
      </c>
      <c r="E36" s="29">
        <f>SUMIF(LOANS!$C$2:$C$61,A36,LOANS!$D$2:$D$61)</f>
        <v>2280000</v>
      </c>
    </row>
    <row r="37" spans="1:5" x14ac:dyDescent="0.3">
      <c r="A37" s="24" t="s">
        <v>238</v>
      </c>
      <c r="B37" s="25">
        <f>COUNTIFS(LOANS!$C$2:$C$61,A37,LOANS!$H$2:$H$61,"ACTIVE")</f>
        <v>16</v>
      </c>
      <c r="C37" s="25">
        <f>COUNTIFS(LOANS!$C$2:$C$61,A37,LOANS!$H$2:$H$61,"PAID")</f>
        <v>2</v>
      </c>
      <c r="D37" s="25">
        <f>B37+C37</f>
        <v>18</v>
      </c>
      <c r="E37" s="29">
        <f>SUMIF(LOANS!$C$2:$C$61,A37,LOANS!$D$2:$D$61)</f>
        <v>290000</v>
      </c>
    </row>
    <row r="38" spans="1:5" x14ac:dyDescent="0.3">
      <c r="A38" s="24" t="s">
        <v>239</v>
      </c>
      <c r="B38" s="25">
        <f>COUNTIFS(LOANS!$C$2:$C$61,A38,LOANS!$H$2:$H$61,"ACTIVE")</f>
        <v>10</v>
      </c>
      <c r="C38" s="25">
        <f>COUNTIFS(LOANS!$C$2:$C$61,A38,LOANS!$H$2:$H$61,"PAID")</f>
        <v>6</v>
      </c>
      <c r="D38" s="25">
        <f>B38+C38</f>
        <v>16</v>
      </c>
      <c r="E38" s="29">
        <f>SUMIF(LOANS!$C$2:$C$61,A38,LOANS!$D$2:$D$61)</f>
        <v>94000</v>
      </c>
    </row>
    <row r="39" spans="1:5" x14ac:dyDescent="0.3">
      <c r="A39" s="33" t="s">
        <v>279</v>
      </c>
      <c r="B39" s="34">
        <f>SUM(B35:B38)</f>
        <v>52</v>
      </c>
      <c r="C39" s="34">
        <f>SUM(C35:C38)</f>
        <v>8</v>
      </c>
      <c r="D39" s="34">
        <f>SUM(D35:D38)</f>
        <v>60</v>
      </c>
      <c r="E39" s="35">
        <f>SUM(E35:E38)</f>
        <v>6374000</v>
      </c>
    </row>
    <row r="41" spans="1:5" ht="19.5" customHeight="1" x14ac:dyDescent="0.3">
      <c r="A41" s="1" t="s">
        <v>282</v>
      </c>
      <c r="B41" s="1"/>
      <c r="C41" s="1"/>
      <c r="D41" s="1"/>
      <c r="E41" s="1"/>
    </row>
    <row r="42" spans="1:5" ht="24" customHeight="1" x14ac:dyDescent="0.3">
      <c r="A42" s="23" t="s">
        <v>50</v>
      </c>
      <c r="B42" s="23" t="s">
        <v>209</v>
      </c>
      <c r="C42" s="23" t="s">
        <v>211</v>
      </c>
      <c r="D42" s="23" t="s">
        <v>213</v>
      </c>
      <c r="E42" s="23" t="s">
        <v>278</v>
      </c>
    </row>
    <row r="43" spans="1:5" x14ac:dyDescent="0.3">
      <c r="A43" s="26" t="s">
        <v>208</v>
      </c>
      <c r="B43" s="29">
        <f>SUMIFS(TRANSACTIONS!$D$2:$D$81,TRANSACTIONS!$E$2:$E$81,"&gt;="&amp;DATE(2024,1,1),TRANSACTIONS!$E$2:$E$81,"&lt;"&amp;DATE(2024,2,1),TRANSACTIONS!$C$2:$C$81,"DEPOSIT")</f>
        <v>17800</v>
      </c>
      <c r="C43" s="29">
        <f>SUMIFS(TRANSACTIONS!$D$2:$D$81,TRANSACTIONS!$E$2:$E$81,"&gt;="&amp;DATE(2024,1,1),TRANSACTIONS!$E$2:$E$81,"&lt;"&amp;DATE(2024,2,1),TRANSACTIONS!$C$2:$C$81,"WITHDRAWAL")</f>
        <v>2200</v>
      </c>
      <c r="D43" s="29">
        <f>SUMIFS(TRANSACTIONS!$D$2:$D$81,TRANSACTIONS!$E$2:$E$81,"&gt;="&amp;DATE(2024,1,1),TRANSACTIONS!$E$2:$E$81,"&lt;"&amp;DATE(2024,2,1),TRANSACTIONS!$C$2:$C$81,"TRANSFER")</f>
        <v>0</v>
      </c>
      <c r="E43" s="29">
        <f t="shared" ref="E43:E50" si="1">B43+C43+D43</f>
        <v>20000</v>
      </c>
    </row>
    <row r="44" spans="1:5" x14ac:dyDescent="0.3">
      <c r="A44" s="26" t="s">
        <v>210</v>
      </c>
      <c r="B44" s="29">
        <f>SUMIFS(TRANSACTIONS!$D$2:$D$81,TRANSACTIONS!$E$2:$E$81,"&gt;="&amp;DATE(2024,2,1),TRANSACTIONS!$E$2:$E$81,"&lt;"&amp;DATE(2024,3,1),TRANSACTIONS!$C$2:$C$81,"DEPOSIT")</f>
        <v>28500</v>
      </c>
      <c r="C44" s="29">
        <f>SUMIFS(TRANSACTIONS!$D$2:$D$81,TRANSACTIONS!$E$2:$E$81,"&gt;="&amp;DATE(2024,2,1),TRANSACTIONS!$E$2:$E$81,"&lt;"&amp;DATE(2024,3,1),TRANSACTIONS!$C$2:$C$81,"WITHDRAWAL")</f>
        <v>3100</v>
      </c>
      <c r="D44" s="29">
        <f>SUMIFS(TRANSACTIONS!$D$2:$D$81,TRANSACTIONS!$E$2:$E$81,"&gt;="&amp;DATE(2024,2,1),TRANSACTIONS!$E$2:$E$81,"&lt;"&amp;DATE(2024,3,1),TRANSACTIONS!$C$2:$C$81,"TRANSFER")</f>
        <v>1500</v>
      </c>
      <c r="E44" s="29">
        <f t="shared" si="1"/>
        <v>33100</v>
      </c>
    </row>
    <row r="45" spans="1:5" x14ac:dyDescent="0.3">
      <c r="A45" s="26" t="s">
        <v>212</v>
      </c>
      <c r="B45" s="29">
        <f>SUMIFS(TRANSACTIONS!$D$2:$D$81,TRANSACTIONS!$E$2:$E$81,"&gt;="&amp;DATE(2024,3,1),TRANSACTIONS!$E$2:$E$81,"&lt;"&amp;DATE(2024,4,1),TRANSACTIONS!$C$2:$C$81,"DEPOSIT")</f>
        <v>63500</v>
      </c>
      <c r="C45" s="29">
        <f>SUMIFS(TRANSACTIONS!$D$2:$D$81,TRANSACTIONS!$E$2:$E$81,"&gt;="&amp;DATE(2024,3,1),TRANSACTIONS!$E$2:$E$81,"&lt;"&amp;DATE(2024,4,1),TRANSACTIONS!$C$2:$C$81,"WITHDRAWAL")</f>
        <v>7600</v>
      </c>
      <c r="D45" s="29">
        <f>SUMIFS(TRANSACTIONS!$D$2:$D$81,TRANSACTIONS!$E$2:$E$81,"&gt;="&amp;DATE(2024,3,1),TRANSACTIONS!$E$2:$E$81,"&lt;"&amp;DATE(2024,4,1),TRANSACTIONS!$C$2:$C$81,"TRANSFER")</f>
        <v>2000</v>
      </c>
      <c r="E45" s="29">
        <f t="shared" si="1"/>
        <v>73100</v>
      </c>
    </row>
    <row r="46" spans="1:5" x14ac:dyDescent="0.3">
      <c r="A46" s="26" t="s">
        <v>214</v>
      </c>
      <c r="B46" s="29">
        <f>SUMIFS(TRANSACTIONS!$D$2:$D$81,TRANSACTIONS!$E$2:$E$81,"&gt;="&amp;DATE(2024,4,1),TRANSACTIONS!$E$2:$E$81,"&lt;"&amp;DATE(2024,5,1),TRANSACTIONS!$C$2:$C$81,"DEPOSIT")</f>
        <v>79000</v>
      </c>
      <c r="C46" s="29">
        <f>SUMIFS(TRANSACTIONS!$D$2:$D$81,TRANSACTIONS!$E$2:$E$81,"&gt;="&amp;DATE(2024,4,1),TRANSACTIONS!$E$2:$E$81,"&lt;"&amp;DATE(2024,5,1),TRANSACTIONS!$C$2:$C$81,"WITHDRAWAL")</f>
        <v>10900</v>
      </c>
      <c r="D46" s="29">
        <f>SUMIFS(TRANSACTIONS!$D$2:$D$81,TRANSACTIONS!$E$2:$E$81,"&gt;="&amp;DATE(2024,4,1),TRANSACTIONS!$E$2:$E$81,"&lt;"&amp;DATE(2024,5,1),TRANSACTIONS!$C$2:$C$81,"TRANSFER")</f>
        <v>6500</v>
      </c>
      <c r="E46" s="29">
        <f t="shared" si="1"/>
        <v>96400</v>
      </c>
    </row>
    <row r="47" spans="1:5" x14ac:dyDescent="0.3">
      <c r="A47" s="26" t="s">
        <v>215</v>
      </c>
      <c r="B47" s="29">
        <f>SUMIFS(TRANSACTIONS!$D$2:$D$81,TRANSACTIONS!$E$2:$E$81,"&gt;="&amp;DATE(2024,5,1),TRANSACTIONS!$E$2:$E$81,"&lt;"&amp;DATE(2024,6,1),TRANSACTIONS!$C$2:$C$81,"DEPOSIT")</f>
        <v>48500</v>
      </c>
      <c r="C47" s="29">
        <f>SUMIFS(TRANSACTIONS!$D$2:$D$81,TRANSACTIONS!$E$2:$E$81,"&gt;="&amp;DATE(2024,5,1),TRANSACTIONS!$E$2:$E$81,"&lt;"&amp;DATE(2024,6,1),TRANSACTIONS!$C$2:$C$81,"WITHDRAWAL")</f>
        <v>6000</v>
      </c>
      <c r="D47" s="29">
        <f>SUMIFS(TRANSACTIONS!$D$2:$D$81,TRANSACTIONS!$E$2:$E$81,"&gt;="&amp;DATE(2024,5,1),TRANSACTIONS!$E$2:$E$81,"&lt;"&amp;DATE(2024,6,1),TRANSACTIONS!$C$2:$C$81,"TRANSFER")</f>
        <v>5500</v>
      </c>
      <c r="E47" s="29">
        <f t="shared" si="1"/>
        <v>60000</v>
      </c>
    </row>
    <row r="48" spans="1:5" x14ac:dyDescent="0.3">
      <c r="A48" s="26" t="s">
        <v>217</v>
      </c>
      <c r="B48" s="29">
        <f>SUMIFS(TRANSACTIONS!$D$2:$D$81,TRANSACTIONS!$E$2:$E$81,"&gt;="&amp;DATE(2024,6,1),TRANSACTIONS!$E$2:$E$81,"&lt;"&amp;DATE(2024,7,1),TRANSACTIONS!$C$2:$C$81,"DEPOSIT")</f>
        <v>62000</v>
      </c>
      <c r="C48" s="29">
        <f>SUMIFS(TRANSACTIONS!$D$2:$D$81,TRANSACTIONS!$E$2:$E$81,"&gt;="&amp;DATE(2024,6,1),TRANSACTIONS!$E$2:$E$81,"&lt;"&amp;DATE(2024,7,1),TRANSACTIONS!$C$2:$C$81,"WITHDRAWAL")</f>
        <v>9200</v>
      </c>
      <c r="D48" s="29">
        <f>SUMIFS(TRANSACTIONS!$D$2:$D$81,TRANSACTIONS!$E$2:$E$81,"&gt;="&amp;DATE(2024,6,1),TRANSACTIONS!$E$2:$E$81,"&lt;"&amp;DATE(2024,7,1),TRANSACTIONS!$C$2:$C$81,"TRANSFER")</f>
        <v>4000</v>
      </c>
      <c r="E48" s="29">
        <f t="shared" si="1"/>
        <v>75200</v>
      </c>
    </row>
    <row r="49" spans="1:5" x14ac:dyDescent="0.3">
      <c r="A49" s="26" t="s">
        <v>222</v>
      </c>
      <c r="B49" s="29">
        <f>SUMIFS(TRANSACTIONS!$D$2:$D$81,TRANSACTIONS!$E$2:$E$81,"&gt;="&amp;DATE(2024,7,1),TRANSACTIONS!$E$2:$E$81,"&lt;"&amp;DATE(2024,8,1),TRANSACTIONS!$C$2:$C$81,"DEPOSIT")</f>
        <v>53200</v>
      </c>
      <c r="C49" s="29">
        <f>SUMIFS(TRANSACTIONS!$D$2:$D$81,TRANSACTIONS!$E$2:$E$81,"&gt;="&amp;DATE(2024,7,1),TRANSACTIONS!$E$2:$E$81,"&lt;"&amp;DATE(2024,8,1),TRANSACTIONS!$C$2:$C$81,"WITHDRAWAL")</f>
        <v>2100</v>
      </c>
      <c r="D49" s="29">
        <f>SUMIFS(TRANSACTIONS!$D$2:$D$81,TRANSACTIONS!$E$2:$E$81,"&gt;="&amp;DATE(2024,7,1),TRANSACTIONS!$E$2:$E$81,"&lt;"&amp;DATE(2024,8,1),TRANSACTIONS!$C$2:$C$81,"TRANSFER")</f>
        <v>3000</v>
      </c>
      <c r="E49" s="29">
        <f t="shared" si="1"/>
        <v>58300</v>
      </c>
    </row>
    <row r="50" spans="1:5" x14ac:dyDescent="0.3">
      <c r="A50" s="26" t="s">
        <v>223</v>
      </c>
      <c r="B50" s="29">
        <f>SUMIFS(TRANSACTIONS!$D$2:$D$81,TRANSACTIONS!$E$2:$E$81,"&gt;="&amp;DATE(2024,8,1),TRANSACTIONS!$E$2:$E$81,"&lt;"&amp;DATE(2024,9,1),TRANSACTIONS!$C$2:$C$81,"DEPOSIT")</f>
        <v>25500</v>
      </c>
      <c r="C50" s="29">
        <f>SUMIFS(TRANSACTIONS!$D$2:$D$81,TRANSACTIONS!$E$2:$E$81,"&gt;="&amp;DATE(2024,8,1),TRANSACTIONS!$E$2:$E$81,"&lt;"&amp;DATE(2024,9,1),TRANSACTIONS!$C$2:$C$81,"WITHDRAWAL")</f>
        <v>800</v>
      </c>
      <c r="D50" s="29">
        <f>SUMIFS(TRANSACTIONS!$D$2:$D$81,TRANSACTIONS!$E$2:$E$81,"&gt;="&amp;DATE(2024,8,1),TRANSACTIONS!$E$2:$E$81,"&lt;"&amp;DATE(2024,9,1),TRANSACTIONS!$C$2:$C$81,"TRANSFER")</f>
        <v>1500</v>
      </c>
      <c r="E50" s="29">
        <f t="shared" si="1"/>
        <v>27800</v>
      </c>
    </row>
    <row r="51" spans="1:5" x14ac:dyDescent="0.3">
      <c r="A51" s="33" t="s">
        <v>279</v>
      </c>
      <c r="B51" s="35">
        <f>SUM(B43:B50)</f>
        <v>378000</v>
      </c>
      <c r="C51" s="35">
        <f>SUM(C43:C50)</f>
        <v>41900</v>
      </c>
      <c r="D51" s="35">
        <f>SUM(D43:D50)</f>
        <v>24000</v>
      </c>
      <c r="E51" s="35">
        <f>SUM(E43:E50)</f>
        <v>443900</v>
      </c>
    </row>
  </sheetData>
  <mergeCells count="5">
    <mergeCell ref="A1:H1"/>
    <mergeCell ref="A2:H2"/>
    <mergeCell ref="A4:D4"/>
    <mergeCell ref="A33:E33"/>
    <mergeCell ref="A41:E4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1"/>
  <sheetViews>
    <sheetView tabSelected="1" zoomScaleNormal="100" workbookViewId="0">
      <pane ySplit="2" topLeftCell="A3" activePane="bottomLeft" state="frozen"/>
      <selection pane="bottomLeft" sqref="A1:H1"/>
    </sheetView>
  </sheetViews>
  <sheetFormatPr defaultColWidth="8.6640625" defaultRowHeight="14.4" x14ac:dyDescent="0.3"/>
  <cols>
    <col min="1" max="1" width="26" customWidth="1"/>
    <col min="2" max="2" width="24" customWidth="1"/>
    <col min="3" max="6" width="15" customWidth="1"/>
  </cols>
  <sheetData>
    <row r="1" spans="1:8" ht="25.5" customHeight="1" x14ac:dyDescent="0.3">
      <c r="A1" s="3" t="s">
        <v>283</v>
      </c>
      <c r="B1" s="3"/>
      <c r="C1" s="3"/>
      <c r="D1" s="3"/>
      <c r="E1" s="3"/>
      <c r="F1" s="3"/>
      <c r="G1" s="3"/>
      <c r="H1" s="3"/>
    </row>
    <row r="2" spans="1:8" x14ac:dyDescent="0.3">
      <c r="A2" s="2" t="s">
        <v>284</v>
      </c>
      <c r="B2" s="2"/>
      <c r="C2" s="2"/>
      <c r="D2" s="2"/>
      <c r="E2" s="2"/>
      <c r="F2" s="2"/>
      <c r="G2" s="2"/>
      <c r="H2" s="2"/>
    </row>
    <row r="4" spans="1:8" ht="19.5" customHeight="1" x14ac:dyDescent="0.3">
      <c r="A4" s="1" t="s">
        <v>285</v>
      </c>
      <c r="B4" s="1"/>
      <c r="C4" s="1"/>
      <c r="D4" s="1"/>
      <c r="E4" s="1"/>
      <c r="F4" s="1"/>
    </row>
    <row r="5" spans="1:8" ht="24" customHeight="1" x14ac:dyDescent="0.3">
      <c r="A5" s="23" t="s">
        <v>286</v>
      </c>
      <c r="B5" s="23" t="s">
        <v>287</v>
      </c>
      <c r="C5" s="23" t="s">
        <v>288</v>
      </c>
      <c r="D5" s="23" t="s">
        <v>289</v>
      </c>
      <c r="E5" s="23" t="s">
        <v>290</v>
      </c>
      <c r="F5" s="23" t="s">
        <v>181</v>
      </c>
    </row>
    <row r="6" spans="1:8" x14ac:dyDescent="0.3">
      <c r="A6" s="24" t="s">
        <v>291</v>
      </c>
      <c r="B6" s="24" t="s">
        <v>292</v>
      </c>
      <c r="C6" s="25">
        <f>COUNTA(BRANCHES!$A$2:$A$61)</f>
        <v>60</v>
      </c>
      <c r="D6" s="25">
        <f>SUMPRODUCT(1/COUNTIF(BRANCHES!$A$2:$A$61,BRANCHES!$A$2:$A$61))</f>
        <v>60</v>
      </c>
      <c r="E6" s="25">
        <f t="shared" ref="E6:E19" si="0">C6-D6</f>
        <v>0</v>
      </c>
      <c r="F6" s="26" t="str">
        <f t="shared" ref="F6:F19" si="1">IF(E6=0,"PASS","FAIL")</f>
        <v>PASS</v>
      </c>
    </row>
    <row r="7" spans="1:8" x14ac:dyDescent="0.3">
      <c r="A7" s="24" t="s">
        <v>293</v>
      </c>
      <c r="B7" s="24" t="s">
        <v>294</v>
      </c>
      <c r="C7" s="25">
        <f>COUNTA(CUSTOMERS!$A$2:$A$61)</f>
        <v>60</v>
      </c>
      <c r="D7" s="25">
        <f>SUMPRODUCT(1/COUNTIF(CUSTOMERS!$A$2:$A$61,CUSTOMERS!$A$2:$A$61))</f>
        <v>60</v>
      </c>
      <c r="E7" s="25">
        <f t="shared" si="0"/>
        <v>0</v>
      </c>
      <c r="F7" s="26" t="str">
        <f t="shared" si="1"/>
        <v>PASS</v>
      </c>
    </row>
    <row r="8" spans="1:8" x14ac:dyDescent="0.3">
      <c r="A8" s="24" t="s">
        <v>295</v>
      </c>
      <c r="B8" s="24" t="s">
        <v>296</v>
      </c>
      <c r="C8" s="25">
        <f>COUNTA(ACCOUNTS!$A$2:$A$83)</f>
        <v>82</v>
      </c>
      <c r="D8" s="25">
        <f>SUMPRODUCT(1/COUNTIF(ACCOUNTS!$A$2:$A$83,ACCOUNTS!$A$2:$A$83))</f>
        <v>82</v>
      </c>
      <c r="E8" s="25">
        <f t="shared" si="0"/>
        <v>0</v>
      </c>
      <c r="F8" s="26" t="str">
        <f t="shared" si="1"/>
        <v>PASS</v>
      </c>
    </row>
    <row r="9" spans="1:8" x14ac:dyDescent="0.3">
      <c r="A9" s="24" t="s">
        <v>201</v>
      </c>
      <c r="B9" s="24" t="s">
        <v>297</v>
      </c>
      <c r="C9" s="25">
        <f>COUNTA(TRANSACTIONS!$A$2:$A$81)</f>
        <v>80</v>
      </c>
      <c r="D9" s="25">
        <f>SUMPRODUCT(1/COUNTIF(TRANSACTIONS!$A$2:$A$81,TRANSACTIONS!$A$2:$A$81))</f>
        <v>80</v>
      </c>
      <c r="E9" s="25">
        <f t="shared" si="0"/>
        <v>0</v>
      </c>
      <c r="F9" s="26" t="str">
        <f t="shared" si="1"/>
        <v>PASS</v>
      </c>
    </row>
    <row r="10" spans="1:8" x14ac:dyDescent="0.3">
      <c r="A10" s="24" t="s">
        <v>298</v>
      </c>
      <c r="B10" s="24" t="s">
        <v>299</v>
      </c>
      <c r="C10" s="25">
        <f>COUNTA(LOANS!$A$2:$A$61)</f>
        <v>60</v>
      </c>
      <c r="D10" s="25">
        <f>SUMPRODUCT(1/COUNTIF(LOANS!$A$2:$A$61,LOANS!$A$2:$A$61))</f>
        <v>60</v>
      </c>
      <c r="E10" s="25">
        <f t="shared" si="0"/>
        <v>0</v>
      </c>
      <c r="F10" s="26" t="str">
        <f t="shared" si="1"/>
        <v>PASS</v>
      </c>
    </row>
    <row r="11" spans="1:8" x14ac:dyDescent="0.3">
      <c r="A11" s="24" t="s">
        <v>300</v>
      </c>
      <c r="B11" s="24" t="s">
        <v>301</v>
      </c>
      <c r="C11" s="25">
        <f>COUNTA(EMPLOYEES!$A$2:$A$61)</f>
        <v>60</v>
      </c>
      <c r="D11" s="25">
        <f>SUMPRODUCT(1/COUNTIF(EMPLOYEES!$A$2:$A$61,EMPLOYEES!$A$2:$A$61))</f>
        <v>60</v>
      </c>
      <c r="E11" s="25">
        <f t="shared" si="0"/>
        <v>0</v>
      </c>
      <c r="F11" s="26" t="str">
        <f t="shared" si="1"/>
        <v>PASS</v>
      </c>
    </row>
    <row r="12" spans="1:8" x14ac:dyDescent="0.3">
      <c r="A12" s="24" t="s">
        <v>302</v>
      </c>
      <c r="B12" s="24" t="s">
        <v>303</v>
      </c>
      <c r="C12" s="25">
        <f>COUNTA(CARDS!$A$2:$A$61)</f>
        <v>60</v>
      </c>
      <c r="D12" s="25">
        <f>SUMPRODUCT(1/COUNTIF(CARDS!$A$2:$A$61,CARDS!$A$2:$A$61))</f>
        <v>60</v>
      </c>
      <c r="E12" s="25">
        <f t="shared" si="0"/>
        <v>0</v>
      </c>
      <c r="F12" s="26" t="str">
        <f t="shared" si="1"/>
        <v>PASS</v>
      </c>
    </row>
    <row r="13" spans="1:8" x14ac:dyDescent="0.3">
      <c r="A13" s="24" t="s">
        <v>304</v>
      </c>
      <c r="B13" s="24" t="s">
        <v>305</v>
      </c>
      <c r="C13" s="25">
        <f>COUNTA(TRANSFERS!$A$2:$A$61)</f>
        <v>60</v>
      </c>
      <c r="D13" s="25">
        <f>SUMPRODUCT(1/COUNTIF(TRANSFERS!$A$2:$A$61,TRANSFERS!$A$2:$A$61))</f>
        <v>60</v>
      </c>
      <c r="E13" s="25">
        <f t="shared" si="0"/>
        <v>0</v>
      </c>
      <c r="F13" s="26" t="str">
        <f t="shared" si="1"/>
        <v>PASS</v>
      </c>
    </row>
    <row r="14" spans="1:8" x14ac:dyDescent="0.3">
      <c r="A14" s="24" t="s">
        <v>306</v>
      </c>
      <c r="B14" s="24" t="s">
        <v>307</v>
      </c>
      <c r="C14" s="25">
        <f>COUNTA(BENEFICIARIES!$A$2:$A$61)</f>
        <v>60</v>
      </c>
      <c r="D14" s="25">
        <f>SUMPRODUCT(1/COUNTIF(BENEFICIARIES!$A$2:$A$61,BENEFICIARIES!$A$2:$A$61))</f>
        <v>60</v>
      </c>
      <c r="E14" s="25">
        <f t="shared" si="0"/>
        <v>0</v>
      </c>
      <c r="F14" s="26" t="str">
        <f t="shared" si="1"/>
        <v>PASS</v>
      </c>
    </row>
    <row r="15" spans="1:8" x14ac:dyDescent="0.3">
      <c r="A15" s="24" t="s">
        <v>308</v>
      </c>
      <c r="B15" s="24" t="s">
        <v>309</v>
      </c>
      <c r="C15" s="25">
        <f>COUNTA(FEES!$A$2:$A$61)</f>
        <v>60</v>
      </c>
      <c r="D15" s="25">
        <f>SUMPRODUCT(1/COUNTIF(FEES!$A$2:$A$61,FEES!$A$2:$A$61))</f>
        <v>60</v>
      </c>
      <c r="E15" s="25">
        <f t="shared" si="0"/>
        <v>0</v>
      </c>
      <c r="F15" s="26" t="str">
        <f t="shared" si="1"/>
        <v>PASS</v>
      </c>
    </row>
    <row r="16" spans="1:8" x14ac:dyDescent="0.3">
      <c r="A16" s="24" t="s">
        <v>310</v>
      </c>
      <c r="B16" s="24" t="s">
        <v>311</v>
      </c>
      <c r="C16" s="25">
        <f>COUNTA(LOAN_PAYMENTS!$A$2:$A$61)</f>
        <v>60</v>
      </c>
      <c r="D16" s="25">
        <f>SUMPRODUCT(1/COUNTIF(LOAN_PAYMENTS!$A$2:$A$61,LOAN_PAYMENTS!$A$2:$A$61))</f>
        <v>60</v>
      </c>
      <c r="E16" s="25">
        <f t="shared" si="0"/>
        <v>0</v>
      </c>
      <c r="F16" s="26" t="str">
        <f t="shared" si="1"/>
        <v>PASS</v>
      </c>
    </row>
    <row r="17" spans="1:6" x14ac:dyDescent="0.3">
      <c r="A17" s="24" t="s">
        <v>312</v>
      </c>
      <c r="B17" s="24" t="s">
        <v>313</v>
      </c>
      <c r="C17" s="25">
        <f>COUNTA(STANDING_ORDERS!$A$2:$A$61)</f>
        <v>60</v>
      </c>
      <c r="D17" s="25">
        <f>SUMPRODUCT(1/COUNTIF(STANDING_ORDERS!$A$2:$A$61,STANDING_ORDERS!$A$2:$A$61))</f>
        <v>60</v>
      </c>
      <c r="E17" s="25">
        <f t="shared" si="0"/>
        <v>0</v>
      </c>
      <c r="F17" s="26" t="str">
        <f t="shared" si="1"/>
        <v>PASS</v>
      </c>
    </row>
    <row r="18" spans="1:6" x14ac:dyDescent="0.3">
      <c r="A18" s="24" t="s">
        <v>314</v>
      </c>
      <c r="B18" s="24" t="s">
        <v>315</v>
      </c>
      <c r="C18" s="25">
        <f>COUNTA(ATM_MACHINES!$A$2:$A$61)</f>
        <v>60</v>
      </c>
      <c r="D18" s="25">
        <f>SUMPRODUCT(1/COUNTIF(ATM_MACHINES!$A$2:$A$61,ATM_MACHINES!$A$2:$A$61))</f>
        <v>60</v>
      </c>
      <c r="E18" s="25">
        <f t="shared" si="0"/>
        <v>0</v>
      </c>
      <c r="F18" s="26" t="str">
        <f t="shared" si="1"/>
        <v>PASS</v>
      </c>
    </row>
    <row r="19" spans="1:6" x14ac:dyDescent="0.3">
      <c r="A19" s="24" t="s">
        <v>316</v>
      </c>
      <c r="B19" s="24" t="s">
        <v>317</v>
      </c>
      <c r="C19" s="25">
        <f>COUNTA(AUDIT_LOG!$A$2:$A$61)</f>
        <v>60</v>
      </c>
      <c r="D19" s="25">
        <f>SUMPRODUCT(1/COUNTIF(AUDIT_LOG!$A$2:$A$61,AUDIT_LOG!$A$2:$A$61))</f>
        <v>60</v>
      </c>
      <c r="E19" s="25">
        <f t="shared" si="0"/>
        <v>0</v>
      </c>
      <c r="F19" s="26" t="str">
        <f t="shared" si="1"/>
        <v>PASS</v>
      </c>
    </row>
    <row r="21" spans="1:6" ht="19.5" customHeight="1" x14ac:dyDescent="0.3">
      <c r="A21" s="1" t="s">
        <v>318</v>
      </c>
      <c r="B21" s="1"/>
      <c r="C21" s="1"/>
      <c r="D21" s="1"/>
      <c r="E21" s="1"/>
    </row>
    <row r="22" spans="1:6" ht="24" customHeight="1" x14ac:dyDescent="0.3">
      <c r="A22" s="23" t="s">
        <v>319</v>
      </c>
      <c r="B22" s="23" t="s">
        <v>320</v>
      </c>
      <c r="C22" s="23" t="s">
        <v>321</v>
      </c>
      <c r="D22" s="23" t="s">
        <v>181</v>
      </c>
    </row>
    <row r="23" spans="1:6" x14ac:dyDescent="0.3">
      <c r="A23" s="24" t="s">
        <v>322</v>
      </c>
      <c r="B23" s="25">
        <f>COUNTBLANK(CUSTOMERS!$A$2:$A$61)</f>
        <v>0</v>
      </c>
      <c r="C23" s="24" t="s">
        <v>323</v>
      </c>
      <c r="D23" s="26" t="str">
        <f t="shared" ref="D23:D30" si="2">IF(B23=0,"PASS","FAIL")</f>
        <v>PASS</v>
      </c>
    </row>
    <row r="24" spans="1:6" x14ac:dyDescent="0.3">
      <c r="A24" s="24" t="s">
        <v>324</v>
      </c>
      <c r="B24" s="25">
        <f>COUNTBLANK(CUSTOMERS!$F$2:$F$61)</f>
        <v>0</v>
      </c>
      <c r="C24" s="24" t="s">
        <v>323</v>
      </c>
      <c r="D24" s="26" t="str">
        <f t="shared" si="2"/>
        <v>PASS</v>
      </c>
    </row>
    <row r="25" spans="1:6" x14ac:dyDescent="0.3">
      <c r="A25" s="24" t="s">
        <v>325</v>
      </c>
      <c r="B25" s="25">
        <f>COUNTBLANK(ACCOUNTS!$D$2:$D$83)</f>
        <v>0</v>
      </c>
      <c r="C25" s="24" t="s">
        <v>323</v>
      </c>
      <c r="D25" s="26" t="str">
        <f t="shared" si="2"/>
        <v>PASS</v>
      </c>
    </row>
    <row r="26" spans="1:6" x14ac:dyDescent="0.3">
      <c r="A26" s="24" t="s">
        <v>326</v>
      </c>
      <c r="B26" s="25">
        <f>COUNTBLANK(ACCOUNTS!$F$2:$F$83)</f>
        <v>0</v>
      </c>
      <c r="C26" s="24" t="s">
        <v>323</v>
      </c>
      <c r="D26" s="26" t="str">
        <f t="shared" si="2"/>
        <v>PASS</v>
      </c>
    </row>
    <row r="27" spans="1:6" x14ac:dyDescent="0.3">
      <c r="A27" s="24" t="s">
        <v>327</v>
      </c>
      <c r="B27" s="25">
        <f>COUNTBLANK(TRANSACTIONS!$D$2:$D$81)</f>
        <v>0</v>
      </c>
      <c r="C27" s="24" t="s">
        <v>323</v>
      </c>
      <c r="D27" s="26" t="str">
        <f t="shared" si="2"/>
        <v>PASS</v>
      </c>
    </row>
    <row r="28" spans="1:6" x14ac:dyDescent="0.3">
      <c r="A28" s="24" t="s">
        <v>328</v>
      </c>
      <c r="B28" s="25">
        <f>COUNTBLANK(LOANS!$D$2:$D$61)</f>
        <v>0</v>
      </c>
      <c r="C28" s="24" t="s">
        <v>323</v>
      </c>
      <c r="D28" s="26" t="str">
        <f t="shared" si="2"/>
        <v>PASS</v>
      </c>
    </row>
    <row r="29" spans="1:6" x14ac:dyDescent="0.3">
      <c r="A29" s="24" t="s">
        <v>329</v>
      </c>
      <c r="B29" s="25">
        <f>COUNTBLANK(LOANS!$H$2:$H$61)</f>
        <v>0</v>
      </c>
      <c r="C29" s="24" t="s">
        <v>323</v>
      </c>
      <c r="D29" s="26" t="str">
        <f t="shared" si="2"/>
        <v>PASS</v>
      </c>
    </row>
    <row r="30" spans="1:6" x14ac:dyDescent="0.3">
      <c r="A30" s="24" t="s">
        <v>330</v>
      </c>
      <c r="B30" s="25">
        <f>COUNTBLANK(EMPLOYEES!$F$2:$F$61)</f>
        <v>0</v>
      </c>
      <c r="C30" s="24" t="s">
        <v>323</v>
      </c>
      <c r="D30" s="26" t="str">
        <f t="shared" si="2"/>
        <v>PASS</v>
      </c>
    </row>
    <row r="31" spans="1:6" x14ac:dyDescent="0.3">
      <c r="A31" s="24" t="s">
        <v>331</v>
      </c>
      <c r="B31" s="25">
        <f>COUNTBLANK(EMPLOYEES!$H$2:$H$61)</f>
        <v>25</v>
      </c>
      <c r="C31" s="24" t="s">
        <v>332</v>
      </c>
      <c r="D31" s="26" t="s">
        <v>333</v>
      </c>
    </row>
    <row r="32" spans="1:6" x14ac:dyDescent="0.3">
      <c r="A32" s="24" t="s">
        <v>334</v>
      </c>
      <c r="B32" s="25">
        <f>COUNTBLANK(CARDS!$F$2:$F$61)</f>
        <v>0</v>
      </c>
      <c r="C32" s="24" t="s">
        <v>323</v>
      </c>
      <c r="D32" s="26" t="str">
        <f>IF(B32=0,"PASS","FAIL")</f>
        <v>PASS</v>
      </c>
    </row>
    <row r="33" spans="1:5" x14ac:dyDescent="0.3">
      <c r="A33" s="24" t="s">
        <v>335</v>
      </c>
      <c r="B33" s="25">
        <f>COUNTBLANK(CARDS!$G$2:$G$61)</f>
        <v>38</v>
      </c>
      <c r="C33" s="24" t="s">
        <v>336</v>
      </c>
      <c r="D33" s="26" t="s">
        <v>333</v>
      </c>
    </row>
    <row r="35" spans="1:5" ht="19.5" customHeight="1" x14ac:dyDescent="0.3">
      <c r="A35" s="1" t="s">
        <v>337</v>
      </c>
      <c r="B35" s="1"/>
      <c r="C35" s="1"/>
      <c r="D35" s="1"/>
      <c r="E35" s="1"/>
    </row>
    <row r="36" spans="1:5" ht="24" customHeight="1" x14ac:dyDescent="0.3">
      <c r="A36" s="23" t="s">
        <v>338</v>
      </c>
      <c r="B36" s="23" t="s">
        <v>339</v>
      </c>
      <c r="C36" s="23" t="s">
        <v>340</v>
      </c>
      <c r="D36" s="23" t="s">
        <v>181</v>
      </c>
    </row>
    <row r="37" spans="1:5" x14ac:dyDescent="0.3">
      <c r="A37" s="24" t="s">
        <v>341</v>
      </c>
      <c r="B37" s="24" t="s">
        <v>294</v>
      </c>
      <c r="C37" s="25">
        <f>SUMPRODUCT(--(COUNTIF(CUSTOMERS!$A$2:$A$61,ACCOUNTS!$B$2:$B$83)=0))</f>
        <v>0</v>
      </c>
      <c r="D37" s="26" t="str">
        <f t="shared" ref="D37:D42" si="3">IF(C37=0,"PASS","FAIL")</f>
        <v>PASS</v>
      </c>
    </row>
    <row r="38" spans="1:5" x14ac:dyDescent="0.3">
      <c r="A38" s="24" t="s">
        <v>342</v>
      </c>
      <c r="B38" s="24" t="s">
        <v>296</v>
      </c>
      <c r="C38" s="25">
        <f>SUMPRODUCT(--(COUNTIF(ACCOUNTS!$A$2:$A$83,TRANSACTIONS!$B$2:$B$81)=0))</f>
        <v>0</v>
      </c>
      <c r="D38" s="26" t="str">
        <f t="shared" si="3"/>
        <v>PASS</v>
      </c>
    </row>
    <row r="39" spans="1:5" x14ac:dyDescent="0.3">
      <c r="A39" s="24" t="s">
        <v>343</v>
      </c>
      <c r="B39" s="24" t="s">
        <v>294</v>
      </c>
      <c r="C39" s="25">
        <f>SUMPRODUCT(--(COUNTIF(CUSTOMERS!$A$2:$A$61,LOANS!$B$2:$B$61)=0))</f>
        <v>0</v>
      </c>
      <c r="D39" s="26" t="str">
        <f t="shared" si="3"/>
        <v>PASS</v>
      </c>
    </row>
    <row r="40" spans="1:5" x14ac:dyDescent="0.3">
      <c r="A40" s="24" t="s">
        <v>344</v>
      </c>
      <c r="B40" s="24" t="s">
        <v>296</v>
      </c>
      <c r="C40" s="25">
        <f>SUMPRODUCT(--(COUNTIF(ACCOUNTS!$A$2:$A$83,CARDS!$B$2:$B$61)=0))</f>
        <v>0</v>
      </c>
      <c r="D40" s="26" t="str">
        <f t="shared" si="3"/>
        <v>PASS</v>
      </c>
    </row>
    <row r="41" spans="1:5" x14ac:dyDescent="0.3">
      <c r="A41" s="24" t="s">
        <v>345</v>
      </c>
      <c r="B41" s="24" t="s">
        <v>292</v>
      </c>
      <c r="C41" s="25">
        <f>SUMPRODUCT(--(COUNTIF(BRANCHES!$A$2:$A$61,CUSTOMERS!$H$2:$H$61)=0))</f>
        <v>0</v>
      </c>
      <c r="D41" s="26" t="str">
        <f t="shared" si="3"/>
        <v>PASS</v>
      </c>
    </row>
    <row r="42" spans="1:5" x14ac:dyDescent="0.3">
      <c r="A42" s="24" t="s">
        <v>346</v>
      </c>
      <c r="B42" s="24" t="s">
        <v>292</v>
      </c>
      <c r="C42" s="25">
        <f>SUMPRODUCT(--(COUNTIF(BRANCHES!$A$2:$A$61,EMPLOYEES!$F$2:$F$61)=0))</f>
        <v>0</v>
      </c>
      <c r="D42" s="26" t="str">
        <f t="shared" si="3"/>
        <v>PASS</v>
      </c>
    </row>
    <row r="44" spans="1:5" ht="19.5" customHeight="1" x14ac:dyDescent="0.3">
      <c r="A44" s="1" t="s">
        <v>347</v>
      </c>
      <c r="B44" s="1"/>
      <c r="C44" s="1"/>
      <c r="D44" s="1"/>
      <c r="E44" s="1"/>
    </row>
    <row r="45" spans="1:5" ht="24" customHeight="1" x14ac:dyDescent="0.3">
      <c r="A45" s="23" t="s">
        <v>348</v>
      </c>
      <c r="B45" s="23" t="s">
        <v>349</v>
      </c>
      <c r="C45" s="23" t="s">
        <v>350</v>
      </c>
      <c r="D45" s="23" t="s">
        <v>181</v>
      </c>
    </row>
    <row r="46" spans="1:5" x14ac:dyDescent="0.3">
      <c r="A46" s="24" t="s">
        <v>326</v>
      </c>
      <c r="B46" s="24" t="s">
        <v>351</v>
      </c>
      <c r="C46" s="25">
        <f>COUNTA(ACCOUNTS!$F$2:$F$83)-(COUNTIF(ACCOUNTS!$F$2:$F$83,"ACTIVE")+COUNTIF(ACCOUNTS!$F$2:$F$83,"CLOSED"))</f>
        <v>0</v>
      </c>
      <c r="D46" s="26" t="str">
        <f t="shared" ref="D46:D51" si="4">IF(C46=0,"PASS","FAIL")</f>
        <v>PASS</v>
      </c>
    </row>
    <row r="47" spans="1:5" x14ac:dyDescent="0.3">
      <c r="A47" s="24" t="s">
        <v>352</v>
      </c>
      <c r="B47" s="24" t="s">
        <v>353</v>
      </c>
      <c r="C47" s="25">
        <f>COUNTA(ACCOUNTS!$C$2:$C$83)-(COUNTIF(ACCOUNTS!$C$2:$C$83,"SAVINGS")+COUNTIF(ACCOUNTS!$C$2:$C$83,"CHECKING"))</f>
        <v>0</v>
      </c>
      <c r="D47" s="26" t="str">
        <f t="shared" si="4"/>
        <v>PASS</v>
      </c>
    </row>
    <row r="48" spans="1:5" x14ac:dyDescent="0.3">
      <c r="A48" s="24" t="s">
        <v>329</v>
      </c>
      <c r="B48" s="24" t="s">
        <v>354</v>
      </c>
      <c r="C48" s="25">
        <f>COUNTA(LOANS!$H$2:$H$61)-(COUNTIF(LOANS!$H$2:$H$61,"ACTIVE")+COUNTIF(LOANS!$H$2:$H$61,"PAID"))</f>
        <v>0</v>
      </c>
      <c r="D48" s="26" t="str">
        <f t="shared" si="4"/>
        <v>PASS</v>
      </c>
    </row>
    <row r="49" spans="1:4" x14ac:dyDescent="0.3">
      <c r="A49" s="24" t="s">
        <v>334</v>
      </c>
      <c r="B49" s="24" t="s">
        <v>355</v>
      </c>
      <c r="C49" s="25">
        <f>COUNTA(CARDS!$F$2:$F$61)-(COUNTIF(CARDS!$F$2:$F$61,"ACTIVE")+COUNTIF(CARDS!$F$2:$F$61,"EXPIRED")+COUNTIF(CARDS!$F$2:$F$61,"BLOCKED"))</f>
        <v>0</v>
      </c>
      <c r="D49" s="26" t="str">
        <f t="shared" si="4"/>
        <v>PASS</v>
      </c>
    </row>
    <row r="50" spans="1:4" x14ac:dyDescent="0.3">
      <c r="A50" s="24" t="s">
        <v>356</v>
      </c>
      <c r="B50" s="24" t="s">
        <v>357</v>
      </c>
      <c r="C50" s="25">
        <f>COUNTA(CARDS!$C$2:$C$61)-(COUNTIF(CARDS!$C$2:$C$61,"DEBIT")+COUNTIF(CARDS!$C$2:$C$61,"CREDIT"))</f>
        <v>0</v>
      </c>
      <c r="D50" s="26" t="str">
        <f t="shared" si="4"/>
        <v>PASS</v>
      </c>
    </row>
    <row r="51" spans="1:4" x14ac:dyDescent="0.3">
      <c r="A51" s="24" t="s">
        <v>358</v>
      </c>
      <c r="B51" s="24" t="s">
        <v>359</v>
      </c>
      <c r="C51" s="25">
        <f>COUNTA(TRANSACTIONS!$C$2:$C$81)-(COUNTIF(TRANSACTIONS!$C$2:$C$81,"DEPOSIT")+COUNTIF(TRANSACTIONS!$C$2:$C$81,"WITHDRAWAL")+COUNTIF(TRANSACTIONS!$C$2:$C$81,"TRANSFER"))</f>
        <v>0</v>
      </c>
      <c r="D51" s="26" t="str">
        <f t="shared" si="4"/>
        <v>PASS</v>
      </c>
    </row>
  </sheetData>
  <mergeCells count="6">
    <mergeCell ref="A44:E44"/>
    <mergeCell ref="A1:H1"/>
    <mergeCell ref="A2:H2"/>
    <mergeCell ref="A4:F4"/>
    <mergeCell ref="A21:E21"/>
    <mergeCell ref="A35:E35"/>
  </mergeCells>
  <conditionalFormatting sqref="D23:D33">
    <cfRule type="cellIs" dxfId="11" priority="5" operator="equal">
      <formula>"PASS"</formula>
    </cfRule>
    <cfRule type="cellIs" dxfId="10" priority="6" operator="equal">
      <formula>"FAIL"</formula>
    </cfRule>
    <cfRule type="cellIs" dxfId="9" priority="7" operator="equal">
      <formula>"REVIEW"</formula>
    </cfRule>
  </conditionalFormatting>
  <conditionalFormatting sqref="D37:D42">
    <cfRule type="cellIs" dxfId="8" priority="8" operator="equal">
      <formula>"PASS"</formula>
    </cfRule>
    <cfRule type="cellIs" dxfId="7" priority="9" operator="equal">
      <formula>"FAIL"</formula>
    </cfRule>
    <cfRule type="cellIs" dxfId="6" priority="10" operator="equal">
      <formula>"REVIEW"</formula>
    </cfRule>
  </conditionalFormatting>
  <conditionalFormatting sqref="D46:D51">
    <cfRule type="cellIs" dxfId="5" priority="11" operator="equal">
      <formula>"PASS"</formula>
    </cfRule>
    <cfRule type="cellIs" dxfId="4" priority="12" operator="equal">
      <formula>"FAIL"</formula>
    </cfRule>
    <cfRule type="cellIs" dxfId="3" priority="13" operator="equal">
      <formula>"REVIEW"</formula>
    </cfRule>
  </conditionalFormatting>
  <conditionalFormatting sqref="F6:F19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"REVIEW"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23" customWidth="1"/>
    <col min="3" max="3" width="15" customWidth="1"/>
    <col min="4" max="4" width="14" customWidth="1"/>
  </cols>
  <sheetData>
    <row r="1" spans="1:4" ht="24" customHeight="1" x14ac:dyDescent="0.3">
      <c r="A1" s="23" t="s">
        <v>292</v>
      </c>
      <c r="B1" s="23" t="s">
        <v>360</v>
      </c>
      <c r="C1" s="23" t="s">
        <v>361</v>
      </c>
      <c r="D1" s="23" t="s">
        <v>362</v>
      </c>
    </row>
    <row r="2" spans="1:4" x14ac:dyDescent="0.3">
      <c r="A2" s="36">
        <v>1</v>
      </c>
      <c r="B2" s="36" t="s">
        <v>83</v>
      </c>
      <c r="C2" s="36" t="s">
        <v>52</v>
      </c>
      <c r="D2" s="36" t="s">
        <v>363</v>
      </c>
    </row>
    <row r="3" spans="1:4" x14ac:dyDescent="0.3">
      <c r="A3" s="36">
        <v>2</v>
      </c>
      <c r="B3" s="36" t="s">
        <v>77</v>
      </c>
      <c r="C3" s="36" t="s">
        <v>52</v>
      </c>
      <c r="D3" s="36" t="s">
        <v>364</v>
      </c>
    </row>
    <row r="4" spans="1:4" x14ac:dyDescent="0.3">
      <c r="A4" s="36">
        <v>3</v>
      </c>
      <c r="B4" s="36" t="s">
        <v>95</v>
      </c>
      <c r="C4" s="36" t="s">
        <v>70</v>
      </c>
      <c r="D4" s="36" t="s">
        <v>365</v>
      </c>
    </row>
    <row r="5" spans="1:4" x14ac:dyDescent="0.3">
      <c r="A5" s="36">
        <v>4</v>
      </c>
      <c r="B5" s="36" t="s">
        <v>59</v>
      </c>
      <c r="C5" s="36" t="s">
        <v>73</v>
      </c>
      <c r="D5" s="36" t="s">
        <v>366</v>
      </c>
    </row>
    <row r="6" spans="1:4" x14ac:dyDescent="0.3">
      <c r="A6" s="36">
        <v>5</v>
      </c>
      <c r="B6" s="36" t="s">
        <v>122</v>
      </c>
      <c r="C6" s="36" t="s">
        <v>76</v>
      </c>
      <c r="D6" s="36" t="s">
        <v>367</v>
      </c>
    </row>
    <row r="7" spans="1:4" x14ac:dyDescent="0.3">
      <c r="A7" s="36">
        <v>6</v>
      </c>
      <c r="B7" s="36" t="s">
        <v>62</v>
      </c>
      <c r="C7" s="36" t="s">
        <v>55</v>
      </c>
      <c r="D7" s="36" t="s">
        <v>368</v>
      </c>
    </row>
    <row r="8" spans="1:4" x14ac:dyDescent="0.3">
      <c r="A8" s="36">
        <v>7</v>
      </c>
      <c r="B8" s="36" t="s">
        <v>80</v>
      </c>
      <c r="C8" s="36" t="s">
        <v>58</v>
      </c>
      <c r="D8" s="36" t="s">
        <v>369</v>
      </c>
    </row>
    <row r="9" spans="1:4" x14ac:dyDescent="0.3">
      <c r="A9" s="36">
        <v>8</v>
      </c>
      <c r="B9" s="36" t="s">
        <v>56</v>
      </c>
      <c r="C9" s="36" t="s">
        <v>61</v>
      </c>
      <c r="D9" s="36" t="s">
        <v>370</v>
      </c>
    </row>
    <row r="10" spans="1:4" x14ac:dyDescent="0.3">
      <c r="A10" s="36">
        <v>9</v>
      </c>
      <c r="B10" s="36" t="s">
        <v>65</v>
      </c>
      <c r="C10" s="36" t="s">
        <v>64</v>
      </c>
      <c r="D10" s="36" t="s">
        <v>371</v>
      </c>
    </row>
    <row r="11" spans="1:4" x14ac:dyDescent="0.3">
      <c r="A11" s="36">
        <v>10</v>
      </c>
      <c r="B11" s="36" t="s">
        <v>104</v>
      </c>
      <c r="C11" s="36" t="s">
        <v>67</v>
      </c>
      <c r="D11" s="36" t="s">
        <v>372</v>
      </c>
    </row>
    <row r="12" spans="1:4" x14ac:dyDescent="0.3">
      <c r="A12" s="36">
        <v>11</v>
      </c>
      <c r="B12" s="36" t="s">
        <v>53</v>
      </c>
      <c r="C12" s="36" t="s">
        <v>79</v>
      </c>
      <c r="D12" s="36" t="s">
        <v>373</v>
      </c>
    </row>
    <row r="13" spans="1:4" x14ac:dyDescent="0.3">
      <c r="A13" s="36">
        <v>12</v>
      </c>
      <c r="B13" s="36" t="s">
        <v>71</v>
      </c>
      <c r="C13" s="36" t="s">
        <v>82</v>
      </c>
      <c r="D13" s="36" t="s">
        <v>374</v>
      </c>
    </row>
    <row r="14" spans="1:4" x14ac:dyDescent="0.3">
      <c r="A14" s="36">
        <v>13</v>
      </c>
      <c r="B14" s="36" t="s">
        <v>86</v>
      </c>
      <c r="C14" s="36" t="s">
        <v>85</v>
      </c>
      <c r="D14" s="36" t="s">
        <v>375</v>
      </c>
    </row>
    <row r="15" spans="1:4" x14ac:dyDescent="0.3">
      <c r="A15" s="36">
        <v>14</v>
      </c>
      <c r="B15" s="36" t="s">
        <v>68</v>
      </c>
      <c r="C15" s="36" t="s">
        <v>88</v>
      </c>
      <c r="D15" s="36" t="s">
        <v>376</v>
      </c>
    </row>
    <row r="16" spans="1:4" x14ac:dyDescent="0.3">
      <c r="A16" s="36">
        <v>15</v>
      </c>
      <c r="B16" s="36" t="s">
        <v>101</v>
      </c>
      <c r="C16" s="36" t="s">
        <v>91</v>
      </c>
      <c r="D16" s="36" t="s">
        <v>377</v>
      </c>
    </row>
    <row r="17" spans="1:4" x14ac:dyDescent="0.3">
      <c r="A17" s="36">
        <v>16</v>
      </c>
      <c r="B17" s="36" t="s">
        <v>124</v>
      </c>
      <c r="C17" s="36" t="s">
        <v>52</v>
      </c>
      <c r="D17" s="36" t="s">
        <v>378</v>
      </c>
    </row>
    <row r="18" spans="1:4" x14ac:dyDescent="0.3">
      <c r="A18" s="36">
        <v>17</v>
      </c>
      <c r="B18" s="36" t="s">
        <v>126</v>
      </c>
      <c r="C18" s="36" t="s">
        <v>70</v>
      </c>
      <c r="D18" s="36" t="s">
        <v>379</v>
      </c>
    </row>
    <row r="19" spans="1:4" x14ac:dyDescent="0.3">
      <c r="A19" s="36">
        <v>18</v>
      </c>
      <c r="B19" s="36" t="s">
        <v>128</v>
      </c>
      <c r="C19" s="36" t="s">
        <v>73</v>
      </c>
      <c r="D19" s="36" t="s">
        <v>380</v>
      </c>
    </row>
    <row r="20" spans="1:4" x14ac:dyDescent="0.3">
      <c r="A20" s="36">
        <v>19</v>
      </c>
      <c r="B20" s="36" t="s">
        <v>130</v>
      </c>
      <c r="C20" s="36" t="s">
        <v>76</v>
      </c>
      <c r="D20" s="36" t="s">
        <v>381</v>
      </c>
    </row>
    <row r="21" spans="1:4" x14ac:dyDescent="0.3">
      <c r="A21" s="36">
        <v>20</v>
      </c>
      <c r="B21" s="36" t="s">
        <v>132</v>
      </c>
      <c r="C21" s="36" t="s">
        <v>55</v>
      </c>
      <c r="D21" s="36" t="s">
        <v>382</v>
      </c>
    </row>
    <row r="22" spans="1:4" x14ac:dyDescent="0.3">
      <c r="A22" s="36">
        <v>21</v>
      </c>
      <c r="B22" s="36" t="s">
        <v>89</v>
      </c>
      <c r="C22" s="36" t="s">
        <v>58</v>
      </c>
      <c r="D22" s="36" t="s">
        <v>383</v>
      </c>
    </row>
    <row r="23" spans="1:4" x14ac:dyDescent="0.3">
      <c r="A23" s="36">
        <v>22</v>
      </c>
      <c r="B23" s="36" t="s">
        <v>135</v>
      </c>
      <c r="C23" s="36" t="s">
        <v>61</v>
      </c>
      <c r="D23" s="36" t="s">
        <v>384</v>
      </c>
    </row>
    <row r="24" spans="1:4" x14ac:dyDescent="0.3">
      <c r="A24" s="36">
        <v>23</v>
      </c>
      <c r="B24" s="36" t="s">
        <v>137</v>
      </c>
      <c r="C24" s="36" t="s">
        <v>64</v>
      </c>
      <c r="D24" s="36" t="s">
        <v>385</v>
      </c>
    </row>
    <row r="25" spans="1:4" x14ac:dyDescent="0.3">
      <c r="A25" s="36">
        <v>24</v>
      </c>
      <c r="B25" s="36" t="s">
        <v>139</v>
      </c>
      <c r="C25" s="36" t="s">
        <v>67</v>
      </c>
      <c r="D25" s="36" t="s">
        <v>386</v>
      </c>
    </row>
    <row r="26" spans="1:4" x14ac:dyDescent="0.3">
      <c r="A26" s="36">
        <v>25</v>
      </c>
      <c r="B26" s="36" t="s">
        <v>141</v>
      </c>
      <c r="C26" s="36" t="s">
        <v>79</v>
      </c>
      <c r="D26" s="36" t="s">
        <v>387</v>
      </c>
    </row>
    <row r="27" spans="1:4" x14ac:dyDescent="0.3">
      <c r="A27" s="36">
        <v>26</v>
      </c>
      <c r="B27" s="36" t="s">
        <v>143</v>
      </c>
      <c r="C27" s="36" t="s">
        <v>82</v>
      </c>
      <c r="D27" s="36" t="s">
        <v>388</v>
      </c>
    </row>
    <row r="28" spans="1:4" x14ac:dyDescent="0.3">
      <c r="A28" s="36">
        <v>27</v>
      </c>
      <c r="B28" s="36" t="s">
        <v>145</v>
      </c>
      <c r="C28" s="36" t="s">
        <v>85</v>
      </c>
      <c r="D28" s="36" t="s">
        <v>389</v>
      </c>
    </row>
    <row r="29" spans="1:4" x14ac:dyDescent="0.3">
      <c r="A29" s="36">
        <v>28</v>
      </c>
      <c r="B29" s="36" t="s">
        <v>147</v>
      </c>
      <c r="C29" s="36" t="s">
        <v>88</v>
      </c>
      <c r="D29" s="36" t="s">
        <v>390</v>
      </c>
    </row>
    <row r="30" spans="1:4" x14ac:dyDescent="0.3">
      <c r="A30" s="36">
        <v>29</v>
      </c>
      <c r="B30" s="36" t="s">
        <v>149</v>
      </c>
      <c r="C30" s="36" t="s">
        <v>91</v>
      </c>
      <c r="D30" s="36" t="s">
        <v>391</v>
      </c>
    </row>
    <row r="31" spans="1:4" x14ac:dyDescent="0.3">
      <c r="A31" s="36">
        <v>30</v>
      </c>
      <c r="B31" s="36" t="s">
        <v>98</v>
      </c>
      <c r="C31" s="36" t="s">
        <v>94</v>
      </c>
      <c r="D31" s="36" t="s">
        <v>392</v>
      </c>
    </row>
    <row r="32" spans="1:4" x14ac:dyDescent="0.3">
      <c r="A32" s="36">
        <v>31</v>
      </c>
      <c r="B32" s="36" t="s">
        <v>109</v>
      </c>
      <c r="C32" s="36" t="s">
        <v>97</v>
      </c>
      <c r="D32" s="36" t="s">
        <v>393</v>
      </c>
    </row>
    <row r="33" spans="1:4" x14ac:dyDescent="0.3">
      <c r="A33" s="36">
        <v>32</v>
      </c>
      <c r="B33" s="36" t="s">
        <v>74</v>
      </c>
      <c r="C33" s="36" t="s">
        <v>100</v>
      </c>
      <c r="D33" s="36" t="s">
        <v>394</v>
      </c>
    </row>
    <row r="34" spans="1:4" x14ac:dyDescent="0.3">
      <c r="A34" s="36">
        <v>33</v>
      </c>
      <c r="B34" s="36" t="s">
        <v>115</v>
      </c>
      <c r="C34" s="36" t="s">
        <v>103</v>
      </c>
      <c r="D34" s="36" t="s">
        <v>395</v>
      </c>
    </row>
    <row r="35" spans="1:4" x14ac:dyDescent="0.3">
      <c r="A35" s="36">
        <v>34</v>
      </c>
      <c r="B35" s="36" t="s">
        <v>68</v>
      </c>
      <c r="C35" s="36" t="s">
        <v>106</v>
      </c>
      <c r="D35" s="36" t="s">
        <v>396</v>
      </c>
    </row>
    <row r="36" spans="1:4" x14ac:dyDescent="0.3">
      <c r="A36" s="36">
        <v>35</v>
      </c>
      <c r="B36" s="36" t="s">
        <v>89</v>
      </c>
      <c r="C36" s="36" t="s">
        <v>108</v>
      </c>
      <c r="D36" s="36" t="s">
        <v>397</v>
      </c>
    </row>
    <row r="37" spans="1:4" x14ac:dyDescent="0.3">
      <c r="A37" s="36">
        <v>36</v>
      </c>
      <c r="B37" s="36" t="s">
        <v>120</v>
      </c>
      <c r="C37" s="36" t="s">
        <v>111</v>
      </c>
      <c r="D37" s="36" t="s">
        <v>398</v>
      </c>
    </row>
    <row r="38" spans="1:4" x14ac:dyDescent="0.3">
      <c r="A38" s="36">
        <v>37</v>
      </c>
      <c r="B38" s="36" t="s">
        <v>112</v>
      </c>
      <c r="C38" s="36" t="s">
        <v>114</v>
      </c>
      <c r="D38" s="36" t="s">
        <v>399</v>
      </c>
    </row>
    <row r="39" spans="1:4" x14ac:dyDescent="0.3">
      <c r="A39" s="36">
        <v>38</v>
      </c>
      <c r="B39" s="36" t="s">
        <v>92</v>
      </c>
      <c r="C39" s="36" t="s">
        <v>117</v>
      </c>
      <c r="D39" s="36" t="s">
        <v>400</v>
      </c>
    </row>
    <row r="40" spans="1:4" x14ac:dyDescent="0.3">
      <c r="A40" s="36">
        <v>39</v>
      </c>
      <c r="B40" s="36" t="s">
        <v>89</v>
      </c>
      <c r="C40" s="36" t="s">
        <v>119</v>
      </c>
      <c r="D40" s="36" t="s">
        <v>401</v>
      </c>
    </row>
    <row r="41" spans="1:4" x14ac:dyDescent="0.3">
      <c r="A41" s="36">
        <v>40</v>
      </c>
      <c r="B41" s="36" t="s">
        <v>151</v>
      </c>
      <c r="C41" s="36" t="s">
        <v>254</v>
      </c>
      <c r="D41" s="36" t="s">
        <v>402</v>
      </c>
    </row>
    <row r="42" spans="1:4" x14ac:dyDescent="0.3">
      <c r="A42" s="36">
        <v>41</v>
      </c>
      <c r="B42" s="36" t="s">
        <v>153</v>
      </c>
      <c r="C42" s="36" t="s">
        <v>255</v>
      </c>
      <c r="D42" s="36" t="s">
        <v>403</v>
      </c>
    </row>
    <row r="43" spans="1:4" x14ac:dyDescent="0.3">
      <c r="A43" s="36">
        <v>42</v>
      </c>
      <c r="B43" s="36" t="s">
        <v>71</v>
      </c>
      <c r="C43" s="36" t="s">
        <v>256</v>
      </c>
      <c r="D43" s="36" t="s">
        <v>404</v>
      </c>
    </row>
    <row r="44" spans="1:4" x14ac:dyDescent="0.3">
      <c r="A44" s="36">
        <v>43</v>
      </c>
      <c r="B44" s="36" t="s">
        <v>77</v>
      </c>
      <c r="C44" s="36" t="s">
        <v>257</v>
      </c>
      <c r="D44" s="36" t="s">
        <v>405</v>
      </c>
    </row>
    <row r="45" spans="1:4" x14ac:dyDescent="0.3">
      <c r="A45" s="36">
        <v>44</v>
      </c>
      <c r="B45" s="36" t="s">
        <v>157</v>
      </c>
      <c r="C45" s="36" t="s">
        <v>258</v>
      </c>
      <c r="D45" s="36" t="s">
        <v>406</v>
      </c>
    </row>
    <row r="46" spans="1:4" x14ac:dyDescent="0.3">
      <c r="A46" s="36">
        <v>45</v>
      </c>
      <c r="B46" s="36" t="s">
        <v>159</v>
      </c>
      <c r="C46" s="36" t="s">
        <v>259</v>
      </c>
      <c r="D46" s="36" t="s">
        <v>407</v>
      </c>
    </row>
    <row r="47" spans="1:4" x14ac:dyDescent="0.3">
      <c r="A47" s="36">
        <v>46</v>
      </c>
      <c r="B47" s="36" t="s">
        <v>161</v>
      </c>
      <c r="C47" s="36" t="s">
        <v>260</v>
      </c>
      <c r="D47" s="36" t="s">
        <v>408</v>
      </c>
    </row>
    <row r="48" spans="1:4" x14ac:dyDescent="0.3">
      <c r="A48" s="36">
        <v>47</v>
      </c>
      <c r="B48" s="36" t="s">
        <v>163</v>
      </c>
      <c r="C48" s="36" t="s">
        <v>261</v>
      </c>
      <c r="D48" s="36" t="s">
        <v>409</v>
      </c>
    </row>
    <row r="49" spans="1:4" x14ac:dyDescent="0.3">
      <c r="A49" s="36">
        <v>48</v>
      </c>
      <c r="B49" s="36" t="s">
        <v>165</v>
      </c>
      <c r="C49" s="36" t="s">
        <v>262</v>
      </c>
      <c r="D49" s="36" t="s">
        <v>410</v>
      </c>
    </row>
    <row r="50" spans="1:4" x14ac:dyDescent="0.3">
      <c r="A50" s="36">
        <v>49</v>
      </c>
      <c r="B50" s="36" t="s">
        <v>167</v>
      </c>
      <c r="C50" s="36" t="s">
        <v>263</v>
      </c>
      <c r="D50" s="36" t="s">
        <v>411</v>
      </c>
    </row>
    <row r="51" spans="1:4" x14ac:dyDescent="0.3">
      <c r="A51" s="36">
        <v>50</v>
      </c>
      <c r="B51" s="36" t="s">
        <v>68</v>
      </c>
      <c r="C51" s="36" t="s">
        <v>264</v>
      </c>
      <c r="D51" s="36" t="s">
        <v>412</v>
      </c>
    </row>
    <row r="52" spans="1:4" x14ac:dyDescent="0.3">
      <c r="A52" s="36">
        <v>51</v>
      </c>
      <c r="B52" s="36" t="s">
        <v>168</v>
      </c>
      <c r="C52" s="36" t="s">
        <v>265</v>
      </c>
      <c r="D52" s="36" t="s">
        <v>413</v>
      </c>
    </row>
    <row r="53" spans="1:4" x14ac:dyDescent="0.3">
      <c r="A53" s="36">
        <v>52</v>
      </c>
      <c r="B53" s="36" t="s">
        <v>169</v>
      </c>
      <c r="C53" s="36" t="s">
        <v>266</v>
      </c>
      <c r="D53" s="36" t="s">
        <v>414</v>
      </c>
    </row>
    <row r="54" spans="1:4" x14ac:dyDescent="0.3">
      <c r="A54" s="36">
        <v>53</v>
      </c>
      <c r="B54" s="36" t="s">
        <v>170</v>
      </c>
      <c r="C54" s="36" t="s">
        <v>267</v>
      </c>
      <c r="D54" s="36" t="s">
        <v>415</v>
      </c>
    </row>
    <row r="55" spans="1:4" x14ac:dyDescent="0.3">
      <c r="A55" s="36">
        <v>54</v>
      </c>
      <c r="B55" s="36" t="s">
        <v>89</v>
      </c>
      <c r="C55" s="36" t="s">
        <v>268</v>
      </c>
      <c r="D55" s="36" t="s">
        <v>416</v>
      </c>
    </row>
    <row r="56" spans="1:4" x14ac:dyDescent="0.3">
      <c r="A56" s="36">
        <v>55</v>
      </c>
      <c r="B56" s="36" t="s">
        <v>77</v>
      </c>
      <c r="C56" s="36" t="s">
        <v>269</v>
      </c>
      <c r="D56" s="36" t="s">
        <v>417</v>
      </c>
    </row>
    <row r="57" spans="1:4" x14ac:dyDescent="0.3">
      <c r="A57" s="36">
        <v>56</v>
      </c>
      <c r="B57" s="36" t="s">
        <v>171</v>
      </c>
      <c r="C57" s="36" t="s">
        <v>270</v>
      </c>
      <c r="D57" s="36" t="s">
        <v>418</v>
      </c>
    </row>
    <row r="58" spans="1:4" x14ac:dyDescent="0.3">
      <c r="A58" s="36">
        <v>57</v>
      </c>
      <c r="B58" s="36" t="s">
        <v>168</v>
      </c>
      <c r="C58" s="36" t="s">
        <v>271</v>
      </c>
      <c r="D58" s="36" t="s">
        <v>419</v>
      </c>
    </row>
    <row r="59" spans="1:4" x14ac:dyDescent="0.3">
      <c r="A59" s="36">
        <v>58</v>
      </c>
      <c r="B59" s="36" t="s">
        <v>172</v>
      </c>
      <c r="C59" s="36" t="s">
        <v>272</v>
      </c>
      <c r="D59" s="36" t="s">
        <v>420</v>
      </c>
    </row>
    <row r="60" spans="1:4" x14ac:dyDescent="0.3">
      <c r="A60" s="36">
        <v>59</v>
      </c>
      <c r="B60" s="36" t="s">
        <v>169</v>
      </c>
      <c r="C60" s="36" t="s">
        <v>273</v>
      </c>
      <c r="D60" s="36" t="s">
        <v>421</v>
      </c>
    </row>
    <row r="61" spans="1:4" x14ac:dyDescent="0.3">
      <c r="A61" s="36">
        <v>60</v>
      </c>
      <c r="B61" s="36" t="s">
        <v>173</v>
      </c>
      <c r="C61" s="36" t="s">
        <v>274</v>
      </c>
      <c r="D61" s="36" t="s">
        <v>422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12" customWidth="1"/>
    <col min="3" max="3" width="11" customWidth="1"/>
    <col min="4" max="4" width="21" customWidth="1"/>
    <col min="5" max="5" width="11" customWidth="1"/>
    <col min="6" max="6" width="15" customWidth="1"/>
    <col min="7" max="7" width="12" customWidth="1"/>
    <col min="8" max="8" width="11" customWidth="1"/>
  </cols>
  <sheetData>
    <row r="1" spans="1:8" ht="24" customHeight="1" x14ac:dyDescent="0.3">
      <c r="A1" s="23" t="s">
        <v>294</v>
      </c>
      <c r="B1" s="23" t="s">
        <v>423</v>
      </c>
      <c r="C1" s="23" t="s">
        <v>424</v>
      </c>
      <c r="D1" s="23" t="s">
        <v>425</v>
      </c>
      <c r="E1" s="23" t="s">
        <v>362</v>
      </c>
      <c r="F1" s="23" t="s">
        <v>361</v>
      </c>
      <c r="G1" s="23" t="s">
        <v>426</v>
      </c>
      <c r="H1" s="23" t="s">
        <v>292</v>
      </c>
    </row>
    <row r="2" spans="1:8" x14ac:dyDescent="0.3">
      <c r="A2" s="36">
        <v>1</v>
      </c>
      <c r="B2" s="36" t="s">
        <v>427</v>
      </c>
      <c r="C2" s="36" t="s">
        <v>428</v>
      </c>
      <c r="D2" s="36" t="s">
        <v>429</v>
      </c>
      <c r="E2" s="36" t="s">
        <v>430</v>
      </c>
      <c r="F2" s="36" t="s">
        <v>52</v>
      </c>
      <c r="G2" s="37">
        <v>43845</v>
      </c>
      <c r="H2" s="36">
        <v>1</v>
      </c>
    </row>
    <row r="3" spans="1:8" x14ac:dyDescent="0.3">
      <c r="A3" s="36">
        <v>2</v>
      </c>
      <c r="B3" s="36" t="s">
        <v>431</v>
      </c>
      <c r="C3" s="36" t="s">
        <v>432</v>
      </c>
      <c r="D3" s="36" t="s">
        <v>433</v>
      </c>
      <c r="E3" s="36" t="s">
        <v>434</v>
      </c>
      <c r="F3" s="36" t="s">
        <v>52</v>
      </c>
      <c r="G3" s="37">
        <v>43546</v>
      </c>
      <c r="H3" s="36">
        <v>2</v>
      </c>
    </row>
    <row r="4" spans="1:8" x14ac:dyDescent="0.3">
      <c r="A4" s="36">
        <v>3</v>
      </c>
      <c r="B4" s="36" t="s">
        <v>435</v>
      </c>
      <c r="C4" s="36" t="s">
        <v>436</v>
      </c>
      <c r="D4" s="36" t="s">
        <v>437</v>
      </c>
      <c r="E4" s="36" t="s">
        <v>438</v>
      </c>
      <c r="F4" s="36" t="s">
        <v>70</v>
      </c>
      <c r="G4" s="37">
        <v>44387</v>
      </c>
      <c r="H4" s="36">
        <v>3</v>
      </c>
    </row>
    <row r="5" spans="1:8" x14ac:dyDescent="0.3">
      <c r="A5" s="36">
        <v>4</v>
      </c>
      <c r="B5" s="36" t="s">
        <v>439</v>
      </c>
      <c r="C5" s="36" t="s">
        <v>440</v>
      </c>
      <c r="D5" s="36" t="s">
        <v>441</v>
      </c>
      <c r="E5" s="36" t="s">
        <v>442</v>
      </c>
      <c r="F5" s="36" t="s">
        <v>73</v>
      </c>
      <c r="G5" s="37">
        <v>43409</v>
      </c>
      <c r="H5" s="36">
        <v>4</v>
      </c>
    </row>
    <row r="6" spans="1:8" x14ac:dyDescent="0.3">
      <c r="A6" s="36">
        <v>5</v>
      </c>
      <c r="B6" s="36" t="s">
        <v>443</v>
      </c>
      <c r="C6" s="36" t="s">
        <v>444</v>
      </c>
      <c r="D6" s="36" t="s">
        <v>445</v>
      </c>
      <c r="E6" s="36" t="s">
        <v>446</v>
      </c>
      <c r="F6" s="36" t="s">
        <v>76</v>
      </c>
      <c r="G6" s="37">
        <v>44620</v>
      </c>
      <c r="H6" s="36">
        <v>5</v>
      </c>
    </row>
    <row r="7" spans="1:8" x14ac:dyDescent="0.3">
      <c r="A7" s="36">
        <v>6</v>
      </c>
      <c r="B7" s="36" t="s">
        <v>447</v>
      </c>
      <c r="C7" s="36" t="s">
        <v>448</v>
      </c>
      <c r="D7" s="36" t="s">
        <v>449</v>
      </c>
      <c r="E7" s="36" t="s">
        <v>450</v>
      </c>
      <c r="F7" s="36" t="s">
        <v>52</v>
      </c>
      <c r="G7" s="37">
        <v>43996</v>
      </c>
      <c r="H7" s="36">
        <v>1</v>
      </c>
    </row>
    <row r="8" spans="1:8" x14ac:dyDescent="0.3">
      <c r="A8" s="36">
        <v>7</v>
      </c>
      <c r="B8" s="36" t="s">
        <v>451</v>
      </c>
      <c r="C8" s="36" t="s">
        <v>452</v>
      </c>
      <c r="D8" s="36" t="s">
        <v>453</v>
      </c>
      <c r="E8" s="36" t="s">
        <v>454</v>
      </c>
      <c r="F8" s="36" t="s">
        <v>70</v>
      </c>
      <c r="G8" s="37">
        <v>44469</v>
      </c>
      <c r="H8" s="36">
        <v>3</v>
      </c>
    </row>
    <row r="9" spans="1:8" x14ac:dyDescent="0.3">
      <c r="A9" s="36">
        <v>8</v>
      </c>
      <c r="B9" s="36" t="s">
        <v>455</v>
      </c>
      <c r="C9" s="36" t="s">
        <v>456</v>
      </c>
      <c r="D9" s="36" t="s">
        <v>457</v>
      </c>
      <c r="E9" s="36" t="s">
        <v>458</v>
      </c>
      <c r="F9" s="36" t="s">
        <v>73</v>
      </c>
      <c r="G9" s="37">
        <v>43800</v>
      </c>
      <c r="H9" s="36">
        <v>4</v>
      </c>
    </row>
    <row r="10" spans="1:8" x14ac:dyDescent="0.3">
      <c r="A10" s="36">
        <v>9</v>
      </c>
      <c r="B10" s="36" t="s">
        <v>459</v>
      </c>
      <c r="C10" s="36" t="s">
        <v>460</v>
      </c>
      <c r="D10" s="36" t="s">
        <v>461</v>
      </c>
      <c r="E10" s="36" t="s">
        <v>462</v>
      </c>
      <c r="F10" s="36" t="s">
        <v>76</v>
      </c>
      <c r="G10" s="37">
        <v>44946</v>
      </c>
      <c r="H10" s="36">
        <v>5</v>
      </c>
    </row>
    <row r="11" spans="1:8" x14ac:dyDescent="0.3">
      <c r="A11" s="36">
        <v>10</v>
      </c>
      <c r="B11" s="36" t="s">
        <v>463</v>
      </c>
      <c r="C11" s="36" t="s">
        <v>464</v>
      </c>
      <c r="D11" s="36" t="s">
        <v>465</v>
      </c>
      <c r="E11" s="36" t="s">
        <v>466</v>
      </c>
      <c r="F11" s="36" t="s">
        <v>52</v>
      </c>
      <c r="G11" s="37">
        <v>42965</v>
      </c>
      <c r="H11" s="36">
        <v>2</v>
      </c>
    </row>
    <row r="12" spans="1:8" x14ac:dyDescent="0.3">
      <c r="A12" s="36">
        <v>11</v>
      </c>
      <c r="B12" s="36" t="s">
        <v>467</v>
      </c>
      <c r="C12" s="36" t="s">
        <v>468</v>
      </c>
      <c r="D12" s="36" t="s">
        <v>469</v>
      </c>
      <c r="E12" s="36" t="s">
        <v>470</v>
      </c>
      <c r="F12" s="36" t="s">
        <v>55</v>
      </c>
      <c r="G12" s="37">
        <v>44270</v>
      </c>
      <c r="H12" s="36">
        <v>6</v>
      </c>
    </row>
    <row r="13" spans="1:8" x14ac:dyDescent="0.3">
      <c r="A13" s="36">
        <v>12</v>
      </c>
      <c r="B13" s="36" t="s">
        <v>471</v>
      </c>
      <c r="C13" s="36" t="s">
        <v>472</v>
      </c>
      <c r="D13" s="36" t="s">
        <v>473</v>
      </c>
      <c r="E13" s="36" t="s">
        <v>474</v>
      </c>
      <c r="F13" s="36" t="s">
        <v>55</v>
      </c>
      <c r="G13" s="37">
        <v>44063</v>
      </c>
      <c r="H13" s="36">
        <v>6</v>
      </c>
    </row>
    <row r="14" spans="1:8" x14ac:dyDescent="0.3">
      <c r="A14" s="36">
        <v>13</v>
      </c>
      <c r="B14" s="36" t="s">
        <v>475</v>
      </c>
      <c r="C14" s="36" t="s">
        <v>476</v>
      </c>
      <c r="D14" s="36" t="s">
        <v>477</v>
      </c>
      <c r="E14" s="36" t="s">
        <v>478</v>
      </c>
      <c r="F14" s="36" t="s">
        <v>58</v>
      </c>
      <c r="G14" s="37">
        <v>43779</v>
      </c>
      <c r="H14" s="36">
        <v>7</v>
      </c>
    </row>
    <row r="15" spans="1:8" x14ac:dyDescent="0.3">
      <c r="A15" s="36">
        <v>14</v>
      </c>
      <c r="B15" s="36" t="s">
        <v>479</v>
      </c>
      <c r="C15" s="36" t="s">
        <v>480</v>
      </c>
      <c r="D15" s="36" t="s">
        <v>481</v>
      </c>
      <c r="E15" s="36" t="s">
        <v>482</v>
      </c>
      <c r="F15" s="36" t="s">
        <v>58</v>
      </c>
      <c r="G15" s="37">
        <v>44566</v>
      </c>
      <c r="H15" s="36">
        <v>7</v>
      </c>
    </row>
    <row r="16" spans="1:8" x14ac:dyDescent="0.3">
      <c r="A16" s="36">
        <v>15</v>
      </c>
      <c r="B16" s="36" t="s">
        <v>483</v>
      </c>
      <c r="C16" s="36" t="s">
        <v>484</v>
      </c>
      <c r="D16" s="36" t="s">
        <v>485</v>
      </c>
      <c r="E16" s="36" t="s">
        <v>486</v>
      </c>
      <c r="F16" s="36" t="s">
        <v>61</v>
      </c>
      <c r="G16" s="37">
        <v>43276</v>
      </c>
      <c r="H16" s="36">
        <v>8</v>
      </c>
    </row>
    <row r="17" spans="1:8" x14ac:dyDescent="0.3">
      <c r="A17" s="36">
        <v>16</v>
      </c>
      <c r="B17" s="36" t="s">
        <v>443</v>
      </c>
      <c r="C17" s="36" t="s">
        <v>487</v>
      </c>
      <c r="D17" s="36" t="s">
        <v>488</v>
      </c>
      <c r="E17" s="36" t="s">
        <v>489</v>
      </c>
      <c r="F17" s="36" t="s">
        <v>61</v>
      </c>
      <c r="G17" s="37">
        <v>44560</v>
      </c>
      <c r="H17" s="36">
        <v>8</v>
      </c>
    </row>
    <row r="18" spans="1:8" x14ac:dyDescent="0.3">
      <c r="A18" s="36">
        <v>17</v>
      </c>
      <c r="B18" s="36" t="s">
        <v>463</v>
      </c>
      <c r="C18" s="36" t="s">
        <v>490</v>
      </c>
      <c r="D18" s="36" t="s">
        <v>491</v>
      </c>
      <c r="E18" s="36" t="s">
        <v>492</v>
      </c>
      <c r="F18" s="36" t="s">
        <v>64</v>
      </c>
      <c r="G18" s="37">
        <v>43939</v>
      </c>
      <c r="H18" s="36">
        <v>9</v>
      </c>
    </row>
    <row r="19" spans="1:8" x14ac:dyDescent="0.3">
      <c r="A19" s="36">
        <v>18</v>
      </c>
      <c r="B19" s="36" t="s">
        <v>493</v>
      </c>
      <c r="C19" s="36" t="s">
        <v>494</v>
      </c>
      <c r="D19" s="36" t="s">
        <v>495</v>
      </c>
      <c r="E19" s="36" t="s">
        <v>496</v>
      </c>
      <c r="F19" s="36" t="s">
        <v>64</v>
      </c>
      <c r="G19" s="37">
        <v>43668</v>
      </c>
      <c r="H19" s="36">
        <v>9</v>
      </c>
    </row>
    <row r="20" spans="1:8" x14ac:dyDescent="0.3">
      <c r="A20" s="36">
        <v>19</v>
      </c>
      <c r="B20" s="36" t="s">
        <v>497</v>
      </c>
      <c r="C20" s="36" t="s">
        <v>498</v>
      </c>
      <c r="D20" s="36" t="s">
        <v>499</v>
      </c>
      <c r="E20" s="36" t="s">
        <v>500</v>
      </c>
      <c r="F20" s="36" t="s">
        <v>67</v>
      </c>
      <c r="G20" s="37">
        <v>44818</v>
      </c>
      <c r="H20" s="36">
        <v>10</v>
      </c>
    </row>
    <row r="21" spans="1:8" x14ac:dyDescent="0.3">
      <c r="A21" s="36">
        <v>20</v>
      </c>
      <c r="B21" s="36" t="s">
        <v>501</v>
      </c>
      <c r="C21" s="36" t="s">
        <v>502</v>
      </c>
      <c r="D21" s="36" t="s">
        <v>503</v>
      </c>
      <c r="E21" s="36" t="s">
        <v>504</v>
      </c>
      <c r="F21" s="36" t="s">
        <v>67</v>
      </c>
      <c r="G21" s="37">
        <v>44319</v>
      </c>
      <c r="H21" s="36">
        <v>10</v>
      </c>
    </row>
    <row r="22" spans="1:8" x14ac:dyDescent="0.3">
      <c r="A22" s="36">
        <v>21</v>
      </c>
      <c r="B22" s="36" t="s">
        <v>505</v>
      </c>
      <c r="C22" s="36" t="s">
        <v>506</v>
      </c>
      <c r="D22" s="36" t="s">
        <v>507</v>
      </c>
      <c r="E22" s="36" t="s">
        <v>508</v>
      </c>
      <c r="F22" s="36" t="s">
        <v>79</v>
      </c>
      <c r="G22" s="37">
        <v>43187</v>
      </c>
      <c r="H22" s="36">
        <v>11</v>
      </c>
    </row>
    <row r="23" spans="1:8" x14ac:dyDescent="0.3">
      <c r="A23" s="36">
        <v>22</v>
      </c>
      <c r="B23" s="36" t="s">
        <v>119</v>
      </c>
      <c r="C23" s="36" t="s">
        <v>509</v>
      </c>
      <c r="D23" s="36" t="s">
        <v>510</v>
      </c>
      <c r="E23" s="36" t="s">
        <v>511</v>
      </c>
      <c r="F23" s="36" t="s">
        <v>79</v>
      </c>
      <c r="G23" s="37">
        <v>44119</v>
      </c>
      <c r="H23" s="36">
        <v>11</v>
      </c>
    </row>
    <row r="24" spans="1:8" x14ac:dyDescent="0.3">
      <c r="A24" s="36">
        <v>23</v>
      </c>
      <c r="B24" s="36" t="s">
        <v>512</v>
      </c>
      <c r="C24" s="36" t="s">
        <v>513</v>
      </c>
      <c r="D24" s="36" t="s">
        <v>514</v>
      </c>
      <c r="E24" s="36" t="s">
        <v>515</v>
      </c>
      <c r="F24" s="36" t="s">
        <v>82</v>
      </c>
      <c r="G24" s="37">
        <v>43507</v>
      </c>
      <c r="H24" s="36">
        <v>12</v>
      </c>
    </row>
    <row r="25" spans="1:8" x14ac:dyDescent="0.3">
      <c r="A25" s="36">
        <v>24</v>
      </c>
      <c r="B25" s="36" t="s">
        <v>516</v>
      </c>
      <c r="C25" s="36" t="s">
        <v>517</v>
      </c>
      <c r="D25" s="36" t="s">
        <v>518</v>
      </c>
      <c r="E25" s="36" t="s">
        <v>519</v>
      </c>
      <c r="F25" s="36" t="s">
        <v>82</v>
      </c>
      <c r="G25" s="37">
        <v>44415</v>
      </c>
      <c r="H25" s="36">
        <v>12</v>
      </c>
    </row>
    <row r="26" spans="1:8" x14ac:dyDescent="0.3">
      <c r="A26" s="36">
        <v>25</v>
      </c>
      <c r="B26" s="36" t="s">
        <v>520</v>
      </c>
      <c r="C26" s="36" t="s">
        <v>521</v>
      </c>
      <c r="D26" s="36" t="s">
        <v>522</v>
      </c>
      <c r="E26" s="36" t="s">
        <v>523</v>
      </c>
      <c r="F26" s="36" t="s">
        <v>85</v>
      </c>
      <c r="G26" s="37">
        <v>44001</v>
      </c>
      <c r="H26" s="36">
        <v>13</v>
      </c>
    </row>
    <row r="27" spans="1:8" x14ac:dyDescent="0.3">
      <c r="A27" s="36">
        <v>26</v>
      </c>
      <c r="B27" s="36" t="s">
        <v>524</v>
      </c>
      <c r="C27" s="36" t="s">
        <v>525</v>
      </c>
      <c r="D27" s="36" t="s">
        <v>526</v>
      </c>
      <c r="E27" s="36" t="s">
        <v>527</v>
      </c>
      <c r="F27" s="36" t="s">
        <v>85</v>
      </c>
      <c r="G27" s="37">
        <v>44645</v>
      </c>
      <c r="H27" s="36">
        <v>13</v>
      </c>
    </row>
    <row r="28" spans="1:8" x14ac:dyDescent="0.3">
      <c r="A28" s="36">
        <v>27</v>
      </c>
      <c r="B28" s="36" t="s">
        <v>528</v>
      </c>
      <c r="C28" s="36" t="s">
        <v>529</v>
      </c>
      <c r="D28" s="36" t="s">
        <v>530</v>
      </c>
      <c r="E28" s="36" t="s">
        <v>531</v>
      </c>
      <c r="F28" s="36" t="s">
        <v>88</v>
      </c>
      <c r="G28" s="37">
        <v>43716</v>
      </c>
      <c r="H28" s="36">
        <v>14</v>
      </c>
    </row>
    <row r="29" spans="1:8" x14ac:dyDescent="0.3">
      <c r="A29" s="36">
        <v>28</v>
      </c>
      <c r="B29" s="36" t="s">
        <v>532</v>
      </c>
      <c r="C29" s="36" t="s">
        <v>533</v>
      </c>
      <c r="D29" s="36" t="s">
        <v>534</v>
      </c>
      <c r="E29" s="36" t="s">
        <v>535</v>
      </c>
      <c r="F29" s="36" t="s">
        <v>88</v>
      </c>
      <c r="G29" s="37">
        <v>44210</v>
      </c>
      <c r="H29" s="36">
        <v>14</v>
      </c>
    </row>
    <row r="30" spans="1:8" x14ac:dyDescent="0.3">
      <c r="A30" s="36">
        <v>29</v>
      </c>
      <c r="B30" s="36" t="s">
        <v>536</v>
      </c>
      <c r="C30" s="36" t="s">
        <v>537</v>
      </c>
      <c r="D30" s="36" t="s">
        <v>538</v>
      </c>
      <c r="E30" s="36" t="s">
        <v>539</v>
      </c>
      <c r="F30" s="36" t="s">
        <v>91</v>
      </c>
      <c r="G30" s="37">
        <v>44042</v>
      </c>
      <c r="H30" s="36">
        <v>15</v>
      </c>
    </row>
    <row r="31" spans="1:8" x14ac:dyDescent="0.3">
      <c r="A31" s="36">
        <v>30</v>
      </c>
      <c r="B31" s="36" t="s">
        <v>540</v>
      </c>
      <c r="C31" s="36" t="s">
        <v>541</v>
      </c>
      <c r="D31" s="36" t="s">
        <v>542</v>
      </c>
      <c r="E31" s="36" t="s">
        <v>543</v>
      </c>
      <c r="F31" s="36" t="s">
        <v>91</v>
      </c>
      <c r="G31" s="37">
        <v>44885</v>
      </c>
      <c r="H31" s="36">
        <v>15</v>
      </c>
    </row>
    <row r="32" spans="1:8" x14ac:dyDescent="0.3">
      <c r="A32" s="36">
        <v>31</v>
      </c>
      <c r="B32" s="36" t="s">
        <v>544</v>
      </c>
      <c r="C32" s="36" t="s">
        <v>545</v>
      </c>
      <c r="D32" s="36" t="s">
        <v>546</v>
      </c>
      <c r="E32" s="36" t="s">
        <v>547</v>
      </c>
      <c r="F32" s="36" t="s">
        <v>55</v>
      </c>
      <c r="G32" s="37">
        <v>43439</v>
      </c>
      <c r="H32" s="36">
        <v>6</v>
      </c>
    </row>
    <row r="33" spans="1:8" x14ac:dyDescent="0.3">
      <c r="A33" s="36">
        <v>32</v>
      </c>
      <c r="B33" s="36" t="s">
        <v>548</v>
      </c>
      <c r="C33" s="36" t="s">
        <v>549</v>
      </c>
      <c r="D33" s="36" t="s">
        <v>550</v>
      </c>
      <c r="E33" s="36" t="s">
        <v>551</v>
      </c>
      <c r="F33" s="36" t="s">
        <v>58</v>
      </c>
      <c r="G33" s="37">
        <v>43907</v>
      </c>
      <c r="H33" s="36">
        <v>7</v>
      </c>
    </row>
    <row r="34" spans="1:8" x14ac:dyDescent="0.3">
      <c r="A34" s="36">
        <v>33</v>
      </c>
      <c r="B34" s="36" t="s">
        <v>552</v>
      </c>
      <c r="C34" s="36" t="s">
        <v>553</v>
      </c>
      <c r="D34" s="36" t="s">
        <v>554</v>
      </c>
      <c r="E34" s="36" t="s">
        <v>555</v>
      </c>
      <c r="F34" s="36" t="s">
        <v>61</v>
      </c>
      <c r="G34" s="37">
        <v>44369</v>
      </c>
      <c r="H34" s="36">
        <v>8</v>
      </c>
    </row>
    <row r="35" spans="1:8" x14ac:dyDescent="0.3">
      <c r="A35" s="36">
        <v>34</v>
      </c>
      <c r="B35" s="36" t="s">
        <v>556</v>
      </c>
      <c r="C35" s="36" t="s">
        <v>557</v>
      </c>
      <c r="D35" s="36" t="s">
        <v>558</v>
      </c>
      <c r="E35" s="36" t="s">
        <v>559</v>
      </c>
      <c r="F35" s="36" t="s">
        <v>64</v>
      </c>
      <c r="G35" s="37">
        <v>43747</v>
      </c>
      <c r="H35" s="36">
        <v>9</v>
      </c>
    </row>
    <row r="36" spans="1:8" x14ac:dyDescent="0.3">
      <c r="A36" s="36">
        <v>35</v>
      </c>
      <c r="B36" s="36" t="s">
        <v>560</v>
      </c>
      <c r="C36" s="36" t="s">
        <v>561</v>
      </c>
      <c r="D36" s="36" t="s">
        <v>562</v>
      </c>
      <c r="E36" s="36" t="s">
        <v>563</v>
      </c>
      <c r="F36" s="36" t="s">
        <v>67</v>
      </c>
      <c r="G36" s="37">
        <v>44664</v>
      </c>
      <c r="H36" s="36">
        <v>10</v>
      </c>
    </row>
    <row r="37" spans="1:8" x14ac:dyDescent="0.3">
      <c r="A37" s="36">
        <v>36</v>
      </c>
      <c r="B37" s="36" t="s">
        <v>564</v>
      </c>
      <c r="C37" s="36" t="s">
        <v>565</v>
      </c>
      <c r="D37" s="36" t="s">
        <v>566</v>
      </c>
      <c r="E37" s="36" t="s">
        <v>567</v>
      </c>
      <c r="F37" s="36" t="s">
        <v>79</v>
      </c>
      <c r="G37" s="37">
        <v>44101</v>
      </c>
      <c r="H37" s="36">
        <v>11</v>
      </c>
    </row>
    <row r="38" spans="1:8" x14ac:dyDescent="0.3">
      <c r="A38" s="36">
        <v>37</v>
      </c>
      <c r="B38" s="36" t="s">
        <v>439</v>
      </c>
      <c r="C38" s="36" t="s">
        <v>568</v>
      </c>
      <c r="D38" s="36" t="s">
        <v>569</v>
      </c>
      <c r="E38" s="36" t="s">
        <v>570</v>
      </c>
      <c r="F38" s="36" t="s">
        <v>82</v>
      </c>
      <c r="G38" s="37">
        <v>43328</v>
      </c>
      <c r="H38" s="36">
        <v>12</v>
      </c>
    </row>
    <row r="39" spans="1:8" x14ac:dyDescent="0.3">
      <c r="A39" s="36">
        <v>38</v>
      </c>
      <c r="B39" s="36" t="s">
        <v>571</v>
      </c>
      <c r="C39" s="36" t="s">
        <v>572</v>
      </c>
      <c r="D39" s="36" t="s">
        <v>573</v>
      </c>
      <c r="E39" s="36" t="s">
        <v>574</v>
      </c>
      <c r="F39" s="36" t="s">
        <v>85</v>
      </c>
      <c r="G39" s="37">
        <v>44235</v>
      </c>
      <c r="H39" s="36">
        <v>13</v>
      </c>
    </row>
    <row r="40" spans="1:8" x14ac:dyDescent="0.3">
      <c r="A40" s="36">
        <v>39</v>
      </c>
      <c r="B40" s="36" t="s">
        <v>575</v>
      </c>
      <c r="C40" s="36" t="s">
        <v>576</v>
      </c>
      <c r="D40" s="36" t="s">
        <v>577</v>
      </c>
      <c r="E40" s="36" t="s">
        <v>578</v>
      </c>
      <c r="F40" s="36" t="s">
        <v>88</v>
      </c>
      <c r="G40" s="37">
        <v>43972</v>
      </c>
      <c r="H40" s="36">
        <v>14</v>
      </c>
    </row>
    <row r="41" spans="1:8" x14ac:dyDescent="0.3">
      <c r="A41" s="36">
        <v>40</v>
      </c>
      <c r="B41" s="36" t="s">
        <v>451</v>
      </c>
      <c r="C41" s="36" t="s">
        <v>579</v>
      </c>
      <c r="D41" s="36" t="s">
        <v>580</v>
      </c>
      <c r="E41" s="36" t="s">
        <v>581</v>
      </c>
      <c r="F41" s="36" t="s">
        <v>91</v>
      </c>
      <c r="G41" s="37">
        <v>44777</v>
      </c>
      <c r="H41" s="36">
        <v>15</v>
      </c>
    </row>
    <row r="42" spans="1:8" x14ac:dyDescent="0.3">
      <c r="A42" s="36">
        <v>41</v>
      </c>
      <c r="B42" s="36" t="s">
        <v>582</v>
      </c>
      <c r="C42" s="36" t="s">
        <v>583</v>
      </c>
      <c r="D42" s="36" t="s">
        <v>584</v>
      </c>
      <c r="E42" s="36" t="s">
        <v>585</v>
      </c>
      <c r="F42" s="36" t="s">
        <v>52</v>
      </c>
      <c r="G42" s="37">
        <v>43495</v>
      </c>
      <c r="H42" s="36">
        <v>1</v>
      </c>
    </row>
    <row r="43" spans="1:8" x14ac:dyDescent="0.3">
      <c r="A43" s="36">
        <v>42</v>
      </c>
      <c r="B43" s="36" t="s">
        <v>586</v>
      </c>
      <c r="C43" s="36" t="s">
        <v>587</v>
      </c>
      <c r="D43" s="36" t="s">
        <v>588</v>
      </c>
      <c r="E43" s="36" t="s">
        <v>589</v>
      </c>
      <c r="F43" s="36" t="s">
        <v>52</v>
      </c>
      <c r="G43" s="37">
        <v>44393</v>
      </c>
      <c r="H43" s="36">
        <v>2</v>
      </c>
    </row>
    <row r="44" spans="1:8" x14ac:dyDescent="0.3">
      <c r="A44" s="36">
        <v>43</v>
      </c>
      <c r="B44" s="36" t="s">
        <v>590</v>
      </c>
      <c r="C44" s="36" t="s">
        <v>591</v>
      </c>
      <c r="D44" s="36" t="s">
        <v>592</v>
      </c>
      <c r="E44" s="36" t="s">
        <v>593</v>
      </c>
      <c r="F44" s="36" t="s">
        <v>70</v>
      </c>
      <c r="G44" s="37">
        <v>44138</v>
      </c>
      <c r="H44" s="36">
        <v>3</v>
      </c>
    </row>
    <row r="45" spans="1:8" x14ac:dyDescent="0.3">
      <c r="A45" s="36">
        <v>44</v>
      </c>
      <c r="B45" s="36" t="s">
        <v>594</v>
      </c>
      <c r="C45" s="36" t="s">
        <v>595</v>
      </c>
      <c r="D45" s="36" t="s">
        <v>596</v>
      </c>
      <c r="E45" s="36" t="s">
        <v>597</v>
      </c>
      <c r="F45" s="36" t="s">
        <v>73</v>
      </c>
      <c r="G45" s="37">
        <v>43247</v>
      </c>
      <c r="H45" s="36">
        <v>4</v>
      </c>
    </row>
    <row r="46" spans="1:8" x14ac:dyDescent="0.3">
      <c r="A46" s="36">
        <v>45</v>
      </c>
      <c r="B46" s="36" t="s">
        <v>598</v>
      </c>
      <c r="C46" s="36" t="s">
        <v>599</v>
      </c>
      <c r="D46" s="36" t="s">
        <v>600</v>
      </c>
      <c r="E46" s="36" t="s">
        <v>601</v>
      </c>
      <c r="F46" s="36" t="s">
        <v>76</v>
      </c>
      <c r="G46" s="37">
        <v>44722</v>
      </c>
      <c r="H46" s="36">
        <v>5</v>
      </c>
    </row>
    <row r="47" spans="1:8" x14ac:dyDescent="0.3">
      <c r="A47" s="36">
        <v>46</v>
      </c>
      <c r="B47" s="36" t="s">
        <v>602</v>
      </c>
      <c r="C47" s="36" t="s">
        <v>603</v>
      </c>
      <c r="D47" s="36" t="s">
        <v>604</v>
      </c>
      <c r="E47" s="36" t="s">
        <v>605</v>
      </c>
      <c r="F47" s="36" t="s">
        <v>55</v>
      </c>
      <c r="G47" s="37">
        <v>43569</v>
      </c>
      <c r="H47" s="36">
        <v>6</v>
      </c>
    </row>
    <row r="48" spans="1:8" x14ac:dyDescent="0.3">
      <c r="A48" s="36">
        <v>47</v>
      </c>
      <c r="B48" s="36" t="s">
        <v>606</v>
      </c>
      <c r="C48" s="36" t="s">
        <v>607</v>
      </c>
      <c r="D48" s="36" t="s">
        <v>608</v>
      </c>
      <c r="E48" s="36" t="s">
        <v>609</v>
      </c>
      <c r="F48" s="36" t="s">
        <v>58</v>
      </c>
      <c r="G48" s="37">
        <v>44497</v>
      </c>
      <c r="H48" s="36">
        <v>7</v>
      </c>
    </row>
    <row r="49" spans="1:8" x14ac:dyDescent="0.3">
      <c r="A49" s="36">
        <v>48</v>
      </c>
      <c r="B49" s="36" t="s">
        <v>610</v>
      </c>
      <c r="C49" s="36" t="s">
        <v>611</v>
      </c>
      <c r="D49" s="36" t="s">
        <v>612</v>
      </c>
      <c r="E49" s="36" t="s">
        <v>613</v>
      </c>
      <c r="F49" s="36" t="s">
        <v>61</v>
      </c>
      <c r="G49" s="37">
        <v>43870</v>
      </c>
      <c r="H49" s="36">
        <v>8</v>
      </c>
    </row>
    <row r="50" spans="1:8" x14ac:dyDescent="0.3">
      <c r="A50" s="36">
        <v>49</v>
      </c>
      <c r="B50" s="36" t="s">
        <v>614</v>
      </c>
      <c r="C50" s="36" t="s">
        <v>615</v>
      </c>
      <c r="D50" s="36" t="s">
        <v>616</v>
      </c>
      <c r="E50" s="36" t="s">
        <v>617</v>
      </c>
      <c r="F50" s="36" t="s">
        <v>64</v>
      </c>
      <c r="G50" s="37">
        <v>44761</v>
      </c>
      <c r="H50" s="36">
        <v>9</v>
      </c>
    </row>
    <row r="51" spans="1:8" x14ac:dyDescent="0.3">
      <c r="A51" s="36">
        <v>50</v>
      </c>
      <c r="B51" s="36" t="s">
        <v>618</v>
      </c>
      <c r="C51" s="36" t="s">
        <v>619</v>
      </c>
      <c r="D51" s="36" t="s">
        <v>620</v>
      </c>
      <c r="E51" s="36" t="s">
        <v>621</v>
      </c>
      <c r="F51" s="36" t="s">
        <v>67</v>
      </c>
      <c r="G51" s="37">
        <v>44261</v>
      </c>
      <c r="H51" s="36">
        <v>10</v>
      </c>
    </row>
    <row r="52" spans="1:8" x14ac:dyDescent="0.3">
      <c r="A52" s="36">
        <v>51</v>
      </c>
      <c r="B52" s="36" t="s">
        <v>622</v>
      </c>
      <c r="C52" s="36" t="s">
        <v>623</v>
      </c>
      <c r="D52" s="36" t="s">
        <v>624</v>
      </c>
      <c r="E52" s="36" t="s">
        <v>625</v>
      </c>
      <c r="F52" s="36" t="s">
        <v>94</v>
      </c>
      <c r="G52" s="37">
        <v>44331</v>
      </c>
      <c r="H52" s="36">
        <v>30</v>
      </c>
    </row>
    <row r="53" spans="1:8" x14ac:dyDescent="0.3">
      <c r="A53" s="36">
        <v>52</v>
      </c>
      <c r="B53" s="36" t="s">
        <v>626</v>
      </c>
      <c r="C53" s="36" t="s">
        <v>627</v>
      </c>
      <c r="D53" s="36" t="s">
        <v>628</v>
      </c>
      <c r="E53" s="36" t="s">
        <v>629</v>
      </c>
      <c r="F53" s="36" t="s">
        <v>97</v>
      </c>
      <c r="G53" s="37">
        <v>44086</v>
      </c>
      <c r="H53" s="36">
        <v>31</v>
      </c>
    </row>
    <row r="54" spans="1:8" x14ac:dyDescent="0.3">
      <c r="A54" s="36">
        <v>53</v>
      </c>
      <c r="B54" s="36" t="s">
        <v>630</v>
      </c>
      <c r="C54" s="36" t="s">
        <v>631</v>
      </c>
      <c r="D54" s="36" t="s">
        <v>632</v>
      </c>
      <c r="E54" s="36" t="s">
        <v>633</v>
      </c>
      <c r="F54" s="36" t="s">
        <v>100</v>
      </c>
      <c r="G54" s="37">
        <v>43563</v>
      </c>
      <c r="H54" s="36">
        <v>32</v>
      </c>
    </row>
    <row r="55" spans="1:8" x14ac:dyDescent="0.3">
      <c r="A55" s="36">
        <v>54</v>
      </c>
      <c r="B55" s="36" t="s">
        <v>634</v>
      </c>
      <c r="C55" s="36" t="s">
        <v>635</v>
      </c>
      <c r="D55" s="36" t="s">
        <v>636</v>
      </c>
      <c r="E55" s="36" t="s">
        <v>637</v>
      </c>
      <c r="F55" s="36" t="s">
        <v>103</v>
      </c>
      <c r="G55" s="37">
        <v>44606</v>
      </c>
      <c r="H55" s="36">
        <v>33</v>
      </c>
    </row>
    <row r="56" spans="1:8" x14ac:dyDescent="0.3">
      <c r="A56" s="36">
        <v>55</v>
      </c>
      <c r="B56" s="36" t="s">
        <v>638</v>
      </c>
      <c r="C56" s="36" t="s">
        <v>639</v>
      </c>
      <c r="D56" s="36" t="s">
        <v>640</v>
      </c>
      <c r="E56" s="36" t="s">
        <v>641</v>
      </c>
      <c r="F56" s="36" t="s">
        <v>106</v>
      </c>
      <c r="G56" s="37">
        <v>44428</v>
      </c>
      <c r="H56" s="36">
        <v>34</v>
      </c>
    </row>
    <row r="57" spans="1:8" x14ac:dyDescent="0.3">
      <c r="A57" s="36">
        <v>56</v>
      </c>
      <c r="B57" s="36" t="s">
        <v>642</v>
      </c>
      <c r="C57" s="36" t="s">
        <v>643</v>
      </c>
      <c r="D57" s="36" t="s">
        <v>644</v>
      </c>
      <c r="E57" s="36" t="s">
        <v>645</v>
      </c>
      <c r="F57" s="36" t="s">
        <v>108</v>
      </c>
      <c r="G57" s="37">
        <v>44165</v>
      </c>
      <c r="H57" s="36">
        <v>35</v>
      </c>
    </row>
    <row r="58" spans="1:8" x14ac:dyDescent="0.3">
      <c r="A58" s="36">
        <v>57</v>
      </c>
      <c r="B58" s="36" t="s">
        <v>646</v>
      </c>
      <c r="C58" s="36" t="s">
        <v>647</v>
      </c>
      <c r="D58" s="36" t="s">
        <v>648</v>
      </c>
      <c r="E58" s="36" t="s">
        <v>649</v>
      </c>
      <c r="F58" s="36" t="s">
        <v>111</v>
      </c>
      <c r="G58" s="37">
        <v>43306</v>
      </c>
      <c r="H58" s="36">
        <v>36</v>
      </c>
    </row>
    <row r="59" spans="1:8" x14ac:dyDescent="0.3">
      <c r="A59" s="36">
        <v>58</v>
      </c>
      <c r="B59" s="36" t="s">
        <v>650</v>
      </c>
      <c r="C59" s="36" t="s">
        <v>651</v>
      </c>
      <c r="D59" s="36" t="s">
        <v>652</v>
      </c>
      <c r="E59" s="36" t="s">
        <v>653</v>
      </c>
      <c r="F59" s="36" t="s">
        <v>114</v>
      </c>
      <c r="G59" s="37">
        <v>44656</v>
      </c>
      <c r="H59" s="36">
        <v>37</v>
      </c>
    </row>
    <row r="60" spans="1:8" x14ac:dyDescent="0.3">
      <c r="A60" s="36">
        <v>59</v>
      </c>
      <c r="B60" s="36" t="s">
        <v>654</v>
      </c>
      <c r="C60" s="36" t="s">
        <v>528</v>
      </c>
      <c r="D60" s="36" t="s">
        <v>655</v>
      </c>
      <c r="E60" s="36" t="s">
        <v>656</v>
      </c>
      <c r="F60" s="36" t="s">
        <v>117</v>
      </c>
      <c r="G60" s="37">
        <v>43756</v>
      </c>
      <c r="H60" s="36">
        <v>38</v>
      </c>
    </row>
    <row r="61" spans="1:8" x14ac:dyDescent="0.3">
      <c r="A61" s="36">
        <v>60</v>
      </c>
      <c r="B61" s="36" t="s">
        <v>657</v>
      </c>
      <c r="C61" s="36" t="s">
        <v>658</v>
      </c>
      <c r="D61" s="36" t="s">
        <v>659</v>
      </c>
      <c r="E61" s="36" t="s">
        <v>660</v>
      </c>
      <c r="F61" s="36" t="s">
        <v>119</v>
      </c>
      <c r="G61" s="37">
        <v>44538</v>
      </c>
      <c r="H61" s="36">
        <v>39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8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3" customWidth="1"/>
    <col min="3" max="3" width="14" customWidth="1"/>
    <col min="4" max="4" width="11" customWidth="1"/>
    <col min="5" max="5" width="12" customWidth="1"/>
    <col min="6" max="7" width="11" customWidth="1"/>
    <col min="8" max="8" width="13" customWidth="1"/>
    <col min="9" max="9" width="11" customWidth="1"/>
  </cols>
  <sheetData>
    <row r="1" spans="1:9" ht="24" customHeight="1" x14ac:dyDescent="0.3">
      <c r="A1" s="23" t="s">
        <v>296</v>
      </c>
      <c r="B1" s="23" t="s">
        <v>294</v>
      </c>
      <c r="C1" s="23" t="s">
        <v>661</v>
      </c>
      <c r="D1" s="23" t="s">
        <v>662</v>
      </c>
      <c r="E1" s="23" t="s">
        <v>663</v>
      </c>
      <c r="F1" s="23" t="s">
        <v>664</v>
      </c>
      <c r="G1" s="38" t="s">
        <v>292</v>
      </c>
      <c r="H1" s="38" t="s">
        <v>360</v>
      </c>
      <c r="I1" s="38" t="s">
        <v>361</v>
      </c>
    </row>
    <row r="2" spans="1:9" x14ac:dyDescent="0.3">
      <c r="A2" s="36">
        <v>101</v>
      </c>
      <c r="B2" s="36">
        <v>1</v>
      </c>
      <c r="C2" s="36" t="s">
        <v>185</v>
      </c>
      <c r="D2" s="39">
        <v>15000</v>
      </c>
      <c r="E2" s="37">
        <v>43845</v>
      </c>
      <c r="F2" s="36" t="s">
        <v>176</v>
      </c>
      <c r="G2" s="40">
        <f>INDEX(CUSTOMERS!$H$2:$H$61,MATCH($B2,CUSTOMERS!$A$2:$A$61,0))</f>
        <v>1</v>
      </c>
      <c r="H2" s="40" t="str">
        <f>INDEX(BRANCHES!$B$2:$B$61,MATCH($G2,BRANCHES!$A$2:$A$61,0))</f>
        <v>Main Branch</v>
      </c>
      <c r="I2" s="40" t="str">
        <f>INDEX(BRANCHES!$C$2:$C$61,MATCH($G2,BRANCHES!$A$2:$A$61,0))</f>
        <v>New York</v>
      </c>
    </row>
    <row r="3" spans="1:9" x14ac:dyDescent="0.3">
      <c r="A3" s="36">
        <v>102</v>
      </c>
      <c r="B3" s="36">
        <v>1</v>
      </c>
      <c r="C3" s="36" t="s">
        <v>186</v>
      </c>
      <c r="D3" s="39">
        <v>3200</v>
      </c>
      <c r="E3" s="37">
        <v>43891</v>
      </c>
      <c r="F3" s="36" t="s">
        <v>176</v>
      </c>
      <c r="G3" s="40">
        <f>INDEX(CUSTOMERS!$H$2:$H$61,MATCH($B3,CUSTOMERS!$A$2:$A$61,0))</f>
        <v>1</v>
      </c>
      <c r="H3" s="40" t="str">
        <f>INDEX(BRANCHES!$B$2:$B$61,MATCH($G3,BRANCHES!$A$2:$A$61,0))</f>
        <v>Main Branch</v>
      </c>
      <c r="I3" s="40" t="str">
        <f>INDEX(BRANCHES!$C$2:$C$61,MATCH($G3,BRANCHES!$A$2:$A$61,0))</f>
        <v>New York</v>
      </c>
    </row>
    <row r="4" spans="1:9" x14ac:dyDescent="0.3">
      <c r="A4" s="36">
        <v>103</v>
      </c>
      <c r="B4" s="36">
        <v>2</v>
      </c>
      <c r="C4" s="36" t="s">
        <v>185</v>
      </c>
      <c r="D4" s="39">
        <v>8500</v>
      </c>
      <c r="E4" s="37">
        <v>43546</v>
      </c>
      <c r="F4" s="36" t="s">
        <v>176</v>
      </c>
      <c r="G4" s="40">
        <f>INDEX(CUSTOMERS!$H$2:$H$61,MATCH($B4,CUSTOMERS!$A$2:$A$61,0))</f>
        <v>2</v>
      </c>
      <c r="H4" s="40" t="str">
        <f>INDEX(BRANCHES!$B$2:$B$61,MATCH($G4,BRANCHES!$A$2:$A$61,0))</f>
        <v>Downtown Branch</v>
      </c>
      <c r="I4" s="40" t="str">
        <f>INDEX(BRANCHES!$C$2:$C$61,MATCH($G4,BRANCHES!$A$2:$A$61,0))</f>
        <v>New York</v>
      </c>
    </row>
    <row r="5" spans="1:9" x14ac:dyDescent="0.3">
      <c r="A5" s="36">
        <v>104</v>
      </c>
      <c r="B5" s="36">
        <v>3</v>
      </c>
      <c r="C5" s="36" t="s">
        <v>186</v>
      </c>
      <c r="D5" s="39">
        <v>1200</v>
      </c>
      <c r="E5" s="37">
        <v>44387</v>
      </c>
      <c r="F5" s="36" t="s">
        <v>176</v>
      </c>
      <c r="G5" s="40">
        <f>INDEX(CUSTOMERS!$H$2:$H$61,MATCH($B5,CUSTOMERS!$A$2:$A$61,0))</f>
        <v>3</v>
      </c>
      <c r="H5" s="40" t="str">
        <f>INDEX(BRANCHES!$B$2:$B$61,MATCH($G5,BRANCHES!$A$2:$A$61,0))</f>
        <v>West Branch</v>
      </c>
      <c r="I5" s="40" t="str">
        <f>INDEX(BRANCHES!$C$2:$C$61,MATCH($G5,BRANCHES!$A$2:$A$61,0))</f>
        <v>Los Angeles</v>
      </c>
    </row>
    <row r="6" spans="1:9" x14ac:dyDescent="0.3">
      <c r="A6" s="36">
        <v>105</v>
      </c>
      <c r="B6" s="36">
        <v>4</v>
      </c>
      <c r="C6" s="36" t="s">
        <v>185</v>
      </c>
      <c r="D6" s="39">
        <v>50000</v>
      </c>
      <c r="E6" s="37">
        <v>43409</v>
      </c>
      <c r="F6" s="36" t="s">
        <v>176</v>
      </c>
      <c r="G6" s="40">
        <f>INDEX(CUSTOMERS!$H$2:$H$61,MATCH($B6,CUSTOMERS!$A$2:$A$61,0))</f>
        <v>4</v>
      </c>
      <c r="H6" s="40" t="str">
        <f>INDEX(BRANCHES!$B$2:$B$61,MATCH($G6,BRANCHES!$A$2:$A$61,0))</f>
        <v>North Branch</v>
      </c>
      <c r="I6" s="40" t="str">
        <f>INDEX(BRANCHES!$C$2:$C$61,MATCH($G6,BRANCHES!$A$2:$A$61,0))</f>
        <v>Chicago</v>
      </c>
    </row>
    <row r="7" spans="1:9" x14ac:dyDescent="0.3">
      <c r="A7" s="36">
        <v>106</v>
      </c>
      <c r="B7" s="36">
        <v>5</v>
      </c>
      <c r="C7" s="36" t="s">
        <v>186</v>
      </c>
      <c r="D7" s="39">
        <v>750</v>
      </c>
      <c r="E7" s="37">
        <v>44620</v>
      </c>
      <c r="F7" s="36" t="s">
        <v>176</v>
      </c>
      <c r="G7" s="40">
        <f>INDEX(CUSTOMERS!$H$2:$H$61,MATCH($B7,CUSTOMERS!$A$2:$A$61,0))</f>
        <v>5</v>
      </c>
      <c r="H7" s="40" t="str">
        <f>INDEX(BRANCHES!$B$2:$B$61,MATCH($G7,BRANCHES!$A$2:$A$61,0))</f>
        <v>East Branch</v>
      </c>
      <c r="I7" s="40" t="str">
        <f>INDEX(BRANCHES!$C$2:$C$61,MATCH($G7,BRANCHES!$A$2:$A$61,0))</f>
        <v>Houston</v>
      </c>
    </row>
    <row r="8" spans="1:9" x14ac:dyDescent="0.3">
      <c r="A8" s="36">
        <v>107</v>
      </c>
      <c r="B8" s="36">
        <v>6</v>
      </c>
      <c r="C8" s="36" t="s">
        <v>185</v>
      </c>
      <c r="D8" s="39">
        <v>22000</v>
      </c>
      <c r="E8" s="37">
        <v>43996</v>
      </c>
      <c r="F8" s="36" t="s">
        <v>176</v>
      </c>
      <c r="G8" s="40">
        <f>INDEX(CUSTOMERS!$H$2:$H$61,MATCH($B8,CUSTOMERS!$A$2:$A$61,0))</f>
        <v>1</v>
      </c>
      <c r="H8" s="40" t="str">
        <f>INDEX(BRANCHES!$B$2:$B$61,MATCH($G8,BRANCHES!$A$2:$A$61,0))</f>
        <v>Main Branch</v>
      </c>
      <c r="I8" s="40" t="str">
        <f>INDEX(BRANCHES!$C$2:$C$61,MATCH($G8,BRANCHES!$A$2:$A$61,0))</f>
        <v>New York</v>
      </c>
    </row>
    <row r="9" spans="1:9" x14ac:dyDescent="0.3">
      <c r="A9" s="36">
        <v>108</v>
      </c>
      <c r="B9" s="36">
        <v>7</v>
      </c>
      <c r="C9" s="36" t="s">
        <v>186</v>
      </c>
      <c r="D9" s="39">
        <v>4300</v>
      </c>
      <c r="E9" s="37">
        <v>44469</v>
      </c>
      <c r="F9" s="36" t="s">
        <v>176</v>
      </c>
      <c r="G9" s="40">
        <f>INDEX(CUSTOMERS!$H$2:$H$61,MATCH($B9,CUSTOMERS!$A$2:$A$61,0))</f>
        <v>3</v>
      </c>
      <c r="H9" s="40" t="str">
        <f>INDEX(BRANCHES!$B$2:$B$61,MATCH($G9,BRANCHES!$A$2:$A$61,0))</f>
        <v>West Branch</v>
      </c>
      <c r="I9" s="40" t="str">
        <f>INDEX(BRANCHES!$C$2:$C$61,MATCH($G9,BRANCHES!$A$2:$A$61,0))</f>
        <v>Los Angeles</v>
      </c>
    </row>
    <row r="10" spans="1:9" x14ac:dyDescent="0.3">
      <c r="A10" s="36">
        <v>109</v>
      </c>
      <c r="B10" s="36">
        <v>8</v>
      </c>
      <c r="C10" s="36" t="s">
        <v>185</v>
      </c>
      <c r="D10" s="39">
        <v>9800</v>
      </c>
      <c r="E10" s="37">
        <v>43800</v>
      </c>
      <c r="F10" s="36" t="s">
        <v>176</v>
      </c>
      <c r="G10" s="40">
        <f>INDEX(CUSTOMERS!$H$2:$H$61,MATCH($B10,CUSTOMERS!$A$2:$A$61,0))</f>
        <v>4</v>
      </c>
      <c r="H10" s="40" t="str">
        <f>INDEX(BRANCHES!$B$2:$B$61,MATCH($G10,BRANCHES!$A$2:$A$61,0))</f>
        <v>North Branch</v>
      </c>
      <c r="I10" s="40" t="str">
        <f>INDEX(BRANCHES!$C$2:$C$61,MATCH($G10,BRANCHES!$A$2:$A$61,0))</f>
        <v>Chicago</v>
      </c>
    </row>
    <row r="11" spans="1:9" x14ac:dyDescent="0.3">
      <c r="A11" s="36">
        <v>110</v>
      </c>
      <c r="B11" s="36">
        <v>9</v>
      </c>
      <c r="C11" s="36" t="s">
        <v>186</v>
      </c>
      <c r="D11" s="39">
        <v>300</v>
      </c>
      <c r="E11" s="37">
        <v>44946</v>
      </c>
      <c r="F11" s="36" t="s">
        <v>176</v>
      </c>
      <c r="G11" s="40">
        <f>INDEX(CUSTOMERS!$H$2:$H$61,MATCH($B11,CUSTOMERS!$A$2:$A$61,0))</f>
        <v>5</v>
      </c>
      <c r="H11" s="40" t="str">
        <f>INDEX(BRANCHES!$B$2:$B$61,MATCH($G11,BRANCHES!$A$2:$A$61,0))</f>
        <v>East Branch</v>
      </c>
      <c r="I11" s="40" t="str">
        <f>INDEX(BRANCHES!$C$2:$C$61,MATCH($G11,BRANCHES!$A$2:$A$61,0))</f>
        <v>Houston</v>
      </c>
    </row>
    <row r="12" spans="1:9" x14ac:dyDescent="0.3">
      <c r="A12" s="36">
        <v>111</v>
      </c>
      <c r="B12" s="36">
        <v>10</v>
      </c>
      <c r="C12" s="36" t="s">
        <v>185</v>
      </c>
      <c r="D12" s="39">
        <v>67000</v>
      </c>
      <c r="E12" s="37">
        <v>42965</v>
      </c>
      <c r="F12" s="36" t="s">
        <v>176</v>
      </c>
      <c r="G12" s="40">
        <f>INDEX(CUSTOMERS!$H$2:$H$61,MATCH($B12,CUSTOMERS!$A$2:$A$61,0))</f>
        <v>2</v>
      </c>
      <c r="H12" s="40" t="str">
        <f>INDEX(BRANCHES!$B$2:$B$61,MATCH($G12,BRANCHES!$A$2:$A$61,0))</f>
        <v>Downtown Branch</v>
      </c>
      <c r="I12" s="40" t="str">
        <f>INDEX(BRANCHES!$C$2:$C$61,MATCH($G12,BRANCHES!$A$2:$A$61,0))</f>
        <v>New York</v>
      </c>
    </row>
    <row r="13" spans="1:9" x14ac:dyDescent="0.3">
      <c r="A13" s="36">
        <v>112</v>
      </c>
      <c r="B13" s="36">
        <v>10</v>
      </c>
      <c r="C13" s="36" t="s">
        <v>186</v>
      </c>
      <c r="D13" s="39">
        <v>5500</v>
      </c>
      <c r="E13" s="37">
        <v>43110</v>
      </c>
      <c r="F13" s="36" t="s">
        <v>176</v>
      </c>
      <c r="G13" s="40">
        <f>INDEX(CUSTOMERS!$H$2:$H$61,MATCH($B13,CUSTOMERS!$A$2:$A$61,0))</f>
        <v>2</v>
      </c>
      <c r="H13" s="40" t="str">
        <f>INDEX(BRANCHES!$B$2:$B$61,MATCH($G13,BRANCHES!$A$2:$A$61,0))</f>
        <v>Downtown Branch</v>
      </c>
      <c r="I13" s="40" t="str">
        <f>INDEX(BRANCHES!$C$2:$C$61,MATCH($G13,BRANCHES!$A$2:$A$61,0))</f>
        <v>New York</v>
      </c>
    </row>
    <row r="14" spans="1:9" x14ac:dyDescent="0.3">
      <c r="A14" s="36">
        <v>113</v>
      </c>
      <c r="B14" s="36">
        <v>2</v>
      </c>
      <c r="C14" s="36" t="s">
        <v>186</v>
      </c>
      <c r="D14" s="39">
        <v>0</v>
      </c>
      <c r="E14" s="37">
        <v>42125</v>
      </c>
      <c r="F14" s="36" t="s">
        <v>182</v>
      </c>
      <c r="G14" s="40">
        <f>INDEX(CUSTOMERS!$H$2:$H$61,MATCH($B14,CUSTOMERS!$A$2:$A$61,0))</f>
        <v>2</v>
      </c>
      <c r="H14" s="40" t="str">
        <f>INDEX(BRANCHES!$B$2:$B$61,MATCH($G14,BRANCHES!$A$2:$A$61,0))</f>
        <v>Downtown Branch</v>
      </c>
      <c r="I14" s="40" t="str">
        <f>INDEX(BRANCHES!$C$2:$C$61,MATCH($G14,BRANCHES!$A$2:$A$61,0))</f>
        <v>New York</v>
      </c>
    </row>
    <row r="15" spans="1:9" x14ac:dyDescent="0.3">
      <c r="A15" s="36">
        <v>114</v>
      </c>
      <c r="B15" s="36">
        <v>11</v>
      </c>
      <c r="C15" s="36" t="s">
        <v>185</v>
      </c>
      <c r="D15" s="39">
        <v>25000</v>
      </c>
      <c r="E15" s="37">
        <v>44270</v>
      </c>
      <c r="F15" s="36" t="s">
        <v>176</v>
      </c>
      <c r="G15" s="40">
        <f>INDEX(CUSTOMERS!$H$2:$H$61,MATCH($B15,CUSTOMERS!$A$2:$A$61,0))</f>
        <v>6</v>
      </c>
      <c r="H15" s="40" t="str">
        <f>INDEX(BRANCHES!$B$2:$B$61,MATCH($G15,BRANCHES!$A$2:$A$61,0))</f>
        <v>South Branch</v>
      </c>
      <c r="I15" s="40" t="str">
        <f>INDEX(BRANCHES!$C$2:$C$61,MATCH($G15,BRANCHES!$A$2:$A$61,0))</f>
        <v>Miami</v>
      </c>
    </row>
    <row r="16" spans="1:9" x14ac:dyDescent="0.3">
      <c r="A16" s="36">
        <v>115</v>
      </c>
      <c r="B16" s="36">
        <v>11</v>
      </c>
      <c r="C16" s="36" t="s">
        <v>186</v>
      </c>
      <c r="D16" s="39">
        <v>3500</v>
      </c>
      <c r="E16" s="37">
        <v>44287</v>
      </c>
      <c r="F16" s="36" t="s">
        <v>176</v>
      </c>
      <c r="G16" s="40">
        <f>INDEX(CUSTOMERS!$H$2:$H$61,MATCH($B16,CUSTOMERS!$A$2:$A$61,0))</f>
        <v>6</v>
      </c>
      <c r="H16" s="40" t="str">
        <f>INDEX(BRANCHES!$B$2:$B$61,MATCH($G16,BRANCHES!$A$2:$A$61,0))</f>
        <v>South Branch</v>
      </c>
      <c r="I16" s="40" t="str">
        <f>INDEX(BRANCHES!$C$2:$C$61,MATCH($G16,BRANCHES!$A$2:$A$61,0))</f>
        <v>Miami</v>
      </c>
    </row>
    <row r="17" spans="1:9" x14ac:dyDescent="0.3">
      <c r="A17" s="36">
        <v>116</v>
      </c>
      <c r="B17" s="36">
        <v>12</v>
      </c>
      <c r="C17" s="36" t="s">
        <v>185</v>
      </c>
      <c r="D17" s="39">
        <v>18000</v>
      </c>
      <c r="E17" s="37">
        <v>44063</v>
      </c>
      <c r="F17" s="36" t="s">
        <v>176</v>
      </c>
      <c r="G17" s="40">
        <f>INDEX(CUSTOMERS!$H$2:$H$61,MATCH($B17,CUSTOMERS!$A$2:$A$61,0))</f>
        <v>6</v>
      </c>
      <c r="H17" s="40" t="str">
        <f>INDEX(BRANCHES!$B$2:$B$61,MATCH($G17,BRANCHES!$A$2:$A$61,0))</f>
        <v>South Branch</v>
      </c>
      <c r="I17" s="40" t="str">
        <f>INDEX(BRANCHES!$C$2:$C$61,MATCH($G17,BRANCHES!$A$2:$A$61,0))</f>
        <v>Miami</v>
      </c>
    </row>
    <row r="18" spans="1:9" x14ac:dyDescent="0.3">
      <c r="A18" s="36">
        <v>117</v>
      </c>
      <c r="B18" s="36">
        <v>13</v>
      </c>
      <c r="C18" s="36" t="s">
        <v>186</v>
      </c>
      <c r="D18" s="39">
        <v>7200</v>
      </c>
      <c r="E18" s="37">
        <v>43779</v>
      </c>
      <c r="F18" s="36" t="s">
        <v>176</v>
      </c>
      <c r="G18" s="40">
        <f>INDEX(CUSTOMERS!$H$2:$H$61,MATCH($B18,CUSTOMERS!$A$2:$A$61,0))</f>
        <v>7</v>
      </c>
      <c r="H18" s="40" t="str">
        <f>INDEX(BRANCHES!$B$2:$B$61,MATCH($G18,BRANCHES!$A$2:$A$61,0))</f>
        <v>Central Branch</v>
      </c>
      <c r="I18" s="40" t="str">
        <f>INDEX(BRANCHES!$C$2:$C$61,MATCH($G18,BRANCHES!$A$2:$A$61,0))</f>
        <v>Dallas</v>
      </c>
    </row>
    <row r="19" spans="1:9" x14ac:dyDescent="0.3">
      <c r="A19" s="36">
        <v>118</v>
      </c>
      <c r="B19" s="36">
        <v>13</v>
      </c>
      <c r="C19" s="36" t="s">
        <v>185</v>
      </c>
      <c r="D19" s="39">
        <v>45000</v>
      </c>
      <c r="E19" s="37">
        <v>43845</v>
      </c>
      <c r="F19" s="36" t="s">
        <v>176</v>
      </c>
      <c r="G19" s="40">
        <f>INDEX(CUSTOMERS!$H$2:$H$61,MATCH($B19,CUSTOMERS!$A$2:$A$61,0))</f>
        <v>7</v>
      </c>
      <c r="H19" s="40" t="str">
        <f>INDEX(BRANCHES!$B$2:$B$61,MATCH($G19,BRANCHES!$A$2:$A$61,0))</f>
        <v>Central Branch</v>
      </c>
      <c r="I19" s="40" t="str">
        <f>INDEX(BRANCHES!$C$2:$C$61,MATCH($G19,BRANCHES!$A$2:$A$61,0))</f>
        <v>Dallas</v>
      </c>
    </row>
    <row r="20" spans="1:9" x14ac:dyDescent="0.3">
      <c r="A20" s="36">
        <v>119</v>
      </c>
      <c r="B20" s="36">
        <v>14</v>
      </c>
      <c r="C20" s="36" t="s">
        <v>186</v>
      </c>
      <c r="D20" s="39">
        <v>1800</v>
      </c>
      <c r="E20" s="37">
        <v>44566</v>
      </c>
      <c r="F20" s="36" t="s">
        <v>176</v>
      </c>
      <c r="G20" s="40">
        <f>INDEX(CUSTOMERS!$H$2:$H$61,MATCH($B20,CUSTOMERS!$A$2:$A$61,0))</f>
        <v>7</v>
      </c>
      <c r="H20" s="40" t="str">
        <f>INDEX(BRANCHES!$B$2:$B$61,MATCH($G20,BRANCHES!$A$2:$A$61,0))</f>
        <v>Central Branch</v>
      </c>
      <c r="I20" s="40" t="str">
        <f>INDEX(BRANCHES!$C$2:$C$61,MATCH($G20,BRANCHES!$A$2:$A$61,0))</f>
        <v>Dallas</v>
      </c>
    </row>
    <row r="21" spans="1:9" x14ac:dyDescent="0.3">
      <c r="A21" s="36">
        <v>120</v>
      </c>
      <c r="B21" s="36">
        <v>15</v>
      </c>
      <c r="C21" s="36" t="s">
        <v>185</v>
      </c>
      <c r="D21" s="39">
        <v>92000</v>
      </c>
      <c r="E21" s="37">
        <v>43276</v>
      </c>
      <c r="F21" s="36" t="s">
        <v>176</v>
      </c>
      <c r="G21" s="40">
        <f>INDEX(CUSTOMERS!$H$2:$H$61,MATCH($B21,CUSTOMERS!$A$2:$A$61,0))</f>
        <v>8</v>
      </c>
      <c r="H21" s="40" t="str">
        <f>INDEX(BRANCHES!$B$2:$B$61,MATCH($G21,BRANCHES!$A$2:$A$61,0))</f>
        <v>NorthWest Branch</v>
      </c>
      <c r="I21" s="40" t="str">
        <f>INDEX(BRANCHES!$C$2:$C$61,MATCH($G21,BRANCHES!$A$2:$A$61,0))</f>
        <v>Seattle</v>
      </c>
    </row>
    <row r="22" spans="1:9" x14ac:dyDescent="0.3">
      <c r="A22" s="36">
        <v>121</v>
      </c>
      <c r="B22" s="36">
        <v>15</v>
      </c>
      <c r="C22" s="36" t="s">
        <v>186</v>
      </c>
      <c r="D22" s="39">
        <v>8500</v>
      </c>
      <c r="E22" s="37">
        <v>43291</v>
      </c>
      <c r="F22" s="36" t="s">
        <v>176</v>
      </c>
      <c r="G22" s="40">
        <f>INDEX(CUSTOMERS!$H$2:$H$61,MATCH($B22,CUSTOMERS!$A$2:$A$61,0))</f>
        <v>8</v>
      </c>
      <c r="H22" s="40" t="str">
        <f>INDEX(BRANCHES!$B$2:$B$61,MATCH($G22,BRANCHES!$A$2:$A$61,0))</f>
        <v>NorthWest Branch</v>
      </c>
      <c r="I22" s="40" t="str">
        <f>INDEX(BRANCHES!$C$2:$C$61,MATCH($G22,BRANCHES!$A$2:$A$61,0))</f>
        <v>Seattle</v>
      </c>
    </row>
    <row r="23" spans="1:9" x14ac:dyDescent="0.3">
      <c r="A23" s="36">
        <v>122</v>
      </c>
      <c r="B23" s="36">
        <v>16</v>
      </c>
      <c r="C23" s="36" t="s">
        <v>185</v>
      </c>
      <c r="D23" s="39">
        <v>5600</v>
      </c>
      <c r="E23" s="37">
        <v>44560</v>
      </c>
      <c r="F23" s="36" t="s">
        <v>176</v>
      </c>
      <c r="G23" s="40">
        <f>INDEX(CUSTOMERS!$H$2:$H$61,MATCH($B23,CUSTOMERS!$A$2:$A$61,0))</f>
        <v>8</v>
      </c>
      <c r="H23" s="40" t="str">
        <f>INDEX(BRANCHES!$B$2:$B$61,MATCH($G23,BRANCHES!$A$2:$A$61,0))</f>
        <v>NorthWest Branch</v>
      </c>
      <c r="I23" s="40" t="str">
        <f>INDEX(BRANCHES!$C$2:$C$61,MATCH($G23,BRANCHES!$A$2:$A$61,0))</f>
        <v>Seattle</v>
      </c>
    </row>
    <row r="24" spans="1:9" x14ac:dyDescent="0.3">
      <c r="A24" s="36">
        <v>123</v>
      </c>
      <c r="B24" s="36">
        <v>17</v>
      </c>
      <c r="C24" s="36" t="s">
        <v>186</v>
      </c>
      <c r="D24" s="39">
        <v>4200</v>
      </c>
      <c r="E24" s="37">
        <v>43939</v>
      </c>
      <c r="F24" s="36" t="s">
        <v>176</v>
      </c>
      <c r="G24" s="40">
        <f>INDEX(CUSTOMERS!$H$2:$H$61,MATCH($B24,CUSTOMERS!$A$2:$A$61,0))</f>
        <v>9</v>
      </c>
      <c r="H24" s="40" t="str">
        <f>INDEX(BRANCHES!$B$2:$B$61,MATCH($G24,BRANCHES!$A$2:$A$61,0))</f>
        <v>Harbor Branch</v>
      </c>
      <c r="I24" s="40" t="str">
        <f>INDEX(BRANCHES!$C$2:$C$61,MATCH($G24,BRANCHES!$A$2:$A$61,0))</f>
        <v>Boston</v>
      </c>
    </row>
    <row r="25" spans="1:9" x14ac:dyDescent="0.3">
      <c r="A25" s="36">
        <v>124</v>
      </c>
      <c r="B25" s="36">
        <v>17</v>
      </c>
      <c r="C25" s="36" t="s">
        <v>185</v>
      </c>
      <c r="D25" s="39">
        <v>31000</v>
      </c>
      <c r="E25" s="37">
        <v>43952</v>
      </c>
      <c r="F25" s="36" t="s">
        <v>176</v>
      </c>
      <c r="G25" s="40">
        <f>INDEX(CUSTOMERS!$H$2:$H$61,MATCH($B25,CUSTOMERS!$A$2:$A$61,0))</f>
        <v>9</v>
      </c>
      <c r="H25" s="40" t="str">
        <f>INDEX(BRANCHES!$B$2:$B$61,MATCH($G25,BRANCHES!$A$2:$A$61,0))</f>
        <v>Harbor Branch</v>
      </c>
      <c r="I25" s="40" t="str">
        <f>INDEX(BRANCHES!$C$2:$C$61,MATCH($G25,BRANCHES!$A$2:$A$61,0))</f>
        <v>Boston</v>
      </c>
    </row>
    <row r="26" spans="1:9" x14ac:dyDescent="0.3">
      <c r="A26" s="36">
        <v>125</v>
      </c>
      <c r="B26" s="36">
        <v>18</v>
      </c>
      <c r="C26" s="36" t="s">
        <v>185</v>
      </c>
      <c r="D26" s="39">
        <v>14500</v>
      </c>
      <c r="E26" s="37">
        <v>43668</v>
      </c>
      <c r="F26" s="36" t="s">
        <v>176</v>
      </c>
      <c r="G26" s="40">
        <f>INDEX(CUSTOMERS!$H$2:$H$61,MATCH($B26,CUSTOMERS!$A$2:$A$61,0))</f>
        <v>9</v>
      </c>
      <c r="H26" s="40" t="str">
        <f>INDEX(BRANCHES!$B$2:$B$61,MATCH($G26,BRANCHES!$A$2:$A$61,0))</f>
        <v>Harbor Branch</v>
      </c>
      <c r="I26" s="40" t="str">
        <f>INDEX(BRANCHES!$C$2:$C$61,MATCH($G26,BRANCHES!$A$2:$A$61,0))</f>
        <v>Boston</v>
      </c>
    </row>
    <row r="27" spans="1:9" x14ac:dyDescent="0.3">
      <c r="A27" s="36">
        <v>126</v>
      </c>
      <c r="B27" s="36">
        <v>19</v>
      </c>
      <c r="C27" s="36" t="s">
        <v>186</v>
      </c>
      <c r="D27" s="39">
        <v>2300</v>
      </c>
      <c r="E27" s="37">
        <v>44818</v>
      </c>
      <c r="F27" s="36" t="s">
        <v>176</v>
      </c>
      <c r="G27" s="40">
        <f>INDEX(CUSTOMERS!$H$2:$H$61,MATCH($B27,CUSTOMERS!$A$2:$A$61,0))</f>
        <v>10</v>
      </c>
      <c r="H27" s="40" t="str">
        <f>INDEX(BRANCHES!$B$2:$B$61,MATCH($G27,BRANCHES!$A$2:$A$61,0))</f>
        <v>Lakeside Branch</v>
      </c>
      <c r="I27" s="40" t="str">
        <f>INDEX(BRANCHES!$C$2:$C$61,MATCH($G27,BRANCHES!$A$2:$A$61,0))</f>
        <v>Denver</v>
      </c>
    </row>
    <row r="28" spans="1:9" x14ac:dyDescent="0.3">
      <c r="A28" s="36">
        <v>127</v>
      </c>
      <c r="B28" s="36">
        <v>20</v>
      </c>
      <c r="C28" s="36" t="s">
        <v>185</v>
      </c>
      <c r="D28" s="39">
        <v>11000</v>
      </c>
      <c r="E28" s="37">
        <v>44319</v>
      </c>
      <c r="F28" s="36" t="s">
        <v>176</v>
      </c>
      <c r="G28" s="40">
        <f>INDEX(CUSTOMERS!$H$2:$H$61,MATCH($B28,CUSTOMERS!$A$2:$A$61,0))</f>
        <v>10</v>
      </c>
      <c r="H28" s="40" t="str">
        <f>INDEX(BRANCHES!$B$2:$B$61,MATCH($G28,BRANCHES!$A$2:$A$61,0))</f>
        <v>Lakeside Branch</v>
      </c>
      <c r="I28" s="40" t="str">
        <f>INDEX(BRANCHES!$C$2:$C$61,MATCH($G28,BRANCHES!$A$2:$A$61,0))</f>
        <v>Denver</v>
      </c>
    </row>
    <row r="29" spans="1:9" x14ac:dyDescent="0.3">
      <c r="A29" s="36">
        <v>128</v>
      </c>
      <c r="B29" s="36">
        <v>20</v>
      </c>
      <c r="C29" s="36" t="s">
        <v>186</v>
      </c>
      <c r="D29" s="39">
        <v>3100</v>
      </c>
      <c r="E29" s="37">
        <v>44348</v>
      </c>
      <c r="F29" s="36" t="s">
        <v>176</v>
      </c>
      <c r="G29" s="40">
        <f>INDEX(CUSTOMERS!$H$2:$H$61,MATCH($B29,CUSTOMERS!$A$2:$A$61,0))</f>
        <v>10</v>
      </c>
      <c r="H29" s="40" t="str">
        <f>INDEX(BRANCHES!$B$2:$B$61,MATCH($G29,BRANCHES!$A$2:$A$61,0))</f>
        <v>Lakeside Branch</v>
      </c>
      <c r="I29" s="40" t="str">
        <f>INDEX(BRANCHES!$C$2:$C$61,MATCH($G29,BRANCHES!$A$2:$A$61,0))</f>
        <v>Denver</v>
      </c>
    </row>
    <row r="30" spans="1:9" x14ac:dyDescent="0.3">
      <c r="A30" s="36">
        <v>129</v>
      </c>
      <c r="B30" s="36">
        <v>21</v>
      </c>
      <c r="C30" s="36" t="s">
        <v>185</v>
      </c>
      <c r="D30" s="39">
        <v>120000</v>
      </c>
      <c r="E30" s="37">
        <v>43187</v>
      </c>
      <c r="F30" s="36" t="s">
        <v>176</v>
      </c>
      <c r="G30" s="40">
        <f>INDEX(CUSTOMERS!$H$2:$H$61,MATCH($B30,CUSTOMERS!$A$2:$A$61,0))</f>
        <v>11</v>
      </c>
      <c r="H30" s="40" t="str">
        <f>INDEX(BRANCHES!$B$2:$B$61,MATCH($G30,BRANCHES!$A$2:$A$61,0))</f>
        <v>Bay Branch</v>
      </c>
      <c r="I30" s="40" t="str">
        <f>INDEX(BRANCHES!$C$2:$C$61,MATCH($G30,BRANCHES!$A$2:$A$61,0))</f>
        <v>San Francisco</v>
      </c>
    </row>
    <row r="31" spans="1:9" x14ac:dyDescent="0.3">
      <c r="A31" s="36">
        <v>130</v>
      </c>
      <c r="B31" s="36">
        <v>21</v>
      </c>
      <c r="C31" s="36" t="s">
        <v>186</v>
      </c>
      <c r="D31" s="39">
        <v>15000</v>
      </c>
      <c r="E31" s="37">
        <v>43200</v>
      </c>
      <c r="F31" s="36" t="s">
        <v>176</v>
      </c>
      <c r="G31" s="40">
        <f>INDEX(CUSTOMERS!$H$2:$H$61,MATCH($B31,CUSTOMERS!$A$2:$A$61,0))</f>
        <v>11</v>
      </c>
      <c r="H31" s="40" t="str">
        <f>INDEX(BRANCHES!$B$2:$B$61,MATCH($G31,BRANCHES!$A$2:$A$61,0))</f>
        <v>Bay Branch</v>
      </c>
      <c r="I31" s="40" t="str">
        <f>INDEX(BRANCHES!$C$2:$C$61,MATCH($G31,BRANCHES!$A$2:$A$61,0))</f>
        <v>San Francisco</v>
      </c>
    </row>
    <row r="32" spans="1:9" x14ac:dyDescent="0.3">
      <c r="A32" s="36">
        <v>131</v>
      </c>
      <c r="B32" s="36">
        <v>22</v>
      </c>
      <c r="C32" s="36" t="s">
        <v>185</v>
      </c>
      <c r="D32" s="39">
        <v>8900</v>
      </c>
      <c r="E32" s="37">
        <v>44119</v>
      </c>
      <c r="F32" s="36" t="s">
        <v>176</v>
      </c>
      <c r="G32" s="40">
        <f>INDEX(CUSTOMERS!$H$2:$H$61,MATCH($B32,CUSTOMERS!$A$2:$A$61,0))</f>
        <v>11</v>
      </c>
      <c r="H32" s="40" t="str">
        <f>INDEX(BRANCHES!$B$2:$B$61,MATCH($G32,BRANCHES!$A$2:$A$61,0))</f>
        <v>Bay Branch</v>
      </c>
      <c r="I32" s="40" t="str">
        <f>INDEX(BRANCHES!$C$2:$C$61,MATCH($G32,BRANCHES!$A$2:$A$61,0))</f>
        <v>San Francisco</v>
      </c>
    </row>
    <row r="33" spans="1:9" x14ac:dyDescent="0.3">
      <c r="A33" s="36">
        <v>132</v>
      </c>
      <c r="B33" s="36">
        <v>23</v>
      </c>
      <c r="C33" s="36" t="s">
        <v>186</v>
      </c>
      <c r="D33" s="39">
        <v>4700</v>
      </c>
      <c r="E33" s="37">
        <v>43507</v>
      </c>
      <c r="F33" s="36" t="s">
        <v>176</v>
      </c>
      <c r="G33" s="40">
        <f>INDEX(CUSTOMERS!$H$2:$H$61,MATCH($B33,CUSTOMERS!$A$2:$A$61,0))</f>
        <v>12</v>
      </c>
      <c r="H33" s="40" t="str">
        <f>INDEX(BRANCHES!$B$2:$B$61,MATCH($G33,BRANCHES!$A$2:$A$61,0))</f>
        <v>Riverside Branch</v>
      </c>
      <c r="I33" s="40" t="str">
        <f>INDEX(BRANCHES!$C$2:$C$61,MATCH($G33,BRANCHES!$A$2:$A$61,0))</f>
        <v>Phoenix</v>
      </c>
    </row>
    <row r="34" spans="1:9" x14ac:dyDescent="0.3">
      <c r="A34" s="36">
        <v>133</v>
      </c>
      <c r="B34" s="36">
        <v>23</v>
      </c>
      <c r="C34" s="36" t="s">
        <v>185</v>
      </c>
      <c r="D34" s="39">
        <v>27000</v>
      </c>
      <c r="E34" s="37">
        <v>43525</v>
      </c>
      <c r="F34" s="36" t="s">
        <v>176</v>
      </c>
      <c r="G34" s="40">
        <f>INDEX(CUSTOMERS!$H$2:$H$61,MATCH($B34,CUSTOMERS!$A$2:$A$61,0))</f>
        <v>12</v>
      </c>
      <c r="H34" s="40" t="str">
        <f>INDEX(BRANCHES!$B$2:$B$61,MATCH($G34,BRANCHES!$A$2:$A$61,0))</f>
        <v>Riverside Branch</v>
      </c>
      <c r="I34" s="40" t="str">
        <f>INDEX(BRANCHES!$C$2:$C$61,MATCH($G34,BRANCHES!$A$2:$A$61,0))</f>
        <v>Phoenix</v>
      </c>
    </row>
    <row r="35" spans="1:9" x14ac:dyDescent="0.3">
      <c r="A35" s="36">
        <v>134</v>
      </c>
      <c r="B35" s="36">
        <v>24</v>
      </c>
      <c r="C35" s="36" t="s">
        <v>185</v>
      </c>
      <c r="D35" s="39">
        <v>6300</v>
      </c>
      <c r="E35" s="37">
        <v>44415</v>
      </c>
      <c r="F35" s="36" t="s">
        <v>176</v>
      </c>
      <c r="G35" s="40">
        <f>INDEX(CUSTOMERS!$H$2:$H$61,MATCH($B35,CUSTOMERS!$A$2:$A$61,0))</f>
        <v>12</v>
      </c>
      <c r="H35" s="40" t="str">
        <f>INDEX(BRANCHES!$B$2:$B$61,MATCH($G35,BRANCHES!$A$2:$A$61,0))</f>
        <v>Riverside Branch</v>
      </c>
      <c r="I35" s="40" t="str">
        <f>INDEX(BRANCHES!$C$2:$C$61,MATCH($G35,BRANCHES!$A$2:$A$61,0))</f>
        <v>Phoenix</v>
      </c>
    </row>
    <row r="36" spans="1:9" x14ac:dyDescent="0.3">
      <c r="A36" s="36">
        <v>135</v>
      </c>
      <c r="B36" s="36">
        <v>25</v>
      </c>
      <c r="C36" s="36" t="s">
        <v>186</v>
      </c>
      <c r="D36" s="39">
        <v>5100</v>
      </c>
      <c r="E36" s="37">
        <v>44001</v>
      </c>
      <c r="F36" s="36" t="s">
        <v>176</v>
      </c>
      <c r="G36" s="40">
        <f>INDEX(CUSTOMERS!$H$2:$H$61,MATCH($B36,CUSTOMERS!$A$2:$A$61,0))</f>
        <v>13</v>
      </c>
      <c r="H36" s="40" t="str">
        <f>INDEX(BRANCHES!$B$2:$B$61,MATCH($G36,BRANCHES!$A$2:$A$61,0))</f>
        <v>Metro Branch</v>
      </c>
      <c r="I36" s="40" t="str">
        <f>INDEX(BRANCHES!$C$2:$C$61,MATCH($G36,BRANCHES!$A$2:$A$61,0))</f>
        <v>Philadelphia</v>
      </c>
    </row>
    <row r="37" spans="1:9" x14ac:dyDescent="0.3">
      <c r="A37" s="36">
        <v>136</v>
      </c>
      <c r="B37" s="36">
        <v>25</v>
      </c>
      <c r="C37" s="36" t="s">
        <v>185</v>
      </c>
      <c r="D37" s="39">
        <v>38000</v>
      </c>
      <c r="E37" s="37">
        <v>44013</v>
      </c>
      <c r="F37" s="36" t="s">
        <v>176</v>
      </c>
      <c r="G37" s="40">
        <f>INDEX(CUSTOMERS!$H$2:$H$61,MATCH($B37,CUSTOMERS!$A$2:$A$61,0))</f>
        <v>13</v>
      </c>
      <c r="H37" s="40" t="str">
        <f>INDEX(BRANCHES!$B$2:$B$61,MATCH($G37,BRANCHES!$A$2:$A$61,0))</f>
        <v>Metro Branch</v>
      </c>
      <c r="I37" s="40" t="str">
        <f>INDEX(BRANCHES!$C$2:$C$61,MATCH($G37,BRANCHES!$A$2:$A$61,0))</f>
        <v>Philadelphia</v>
      </c>
    </row>
    <row r="38" spans="1:9" x14ac:dyDescent="0.3">
      <c r="A38" s="36">
        <v>137</v>
      </c>
      <c r="B38" s="36">
        <v>26</v>
      </c>
      <c r="C38" s="36" t="s">
        <v>186</v>
      </c>
      <c r="D38" s="39">
        <v>900</v>
      </c>
      <c r="E38" s="37">
        <v>44645</v>
      </c>
      <c r="F38" s="36" t="s">
        <v>176</v>
      </c>
      <c r="G38" s="40">
        <f>INDEX(CUSTOMERS!$H$2:$H$61,MATCH($B38,CUSTOMERS!$A$2:$A$61,0))</f>
        <v>13</v>
      </c>
      <c r="H38" s="40" t="str">
        <f>INDEX(BRANCHES!$B$2:$B$61,MATCH($G38,BRANCHES!$A$2:$A$61,0))</f>
        <v>Metro Branch</v>
      </c>
      <c r="I38" s="40" t="str">
        <f>INDEX(BRANCHES!$C$2:$C$61,MATCH($G38,BRANCHES!$A$2:$A$61,0))</f>
        <v>Philadelphia</v>
      </c>
    </row>
    <row r="39" spans="1:9" x14ac:dyDescent="0.3">
      <c r="A39" s="36">
        <v>138</v>
      </c>
      <c r="B39" s="36">
        <v>27</v>
      </c>
      <c r="C39" s="36" t="s">
        <v>185</v>
      </c>
      <c r="D39" s="39">
        <v>55000</v>
      </c>
      <c r="E39" s="37">
        <v>43716</v>
      </c>
      <c r="F39" s="36" t="s">
        <v>176</v>
      </c>
      <c r="G39" s="40">
        <f>INDEX(CUSTOMERS!$H$2:$H$61,MATCH($B39,CUSTOMERS!$A$2:$A$61,0))</f>
        <v>14</v>
      </c>
      <c r="H39" s="40" t="str">
        <f>INDEX(BRANCHES!$B$2:$B$61,MATCH($G39,BRANCHES!$A$2:$A$61,0))</f>
        <v>Midtown Branch</v>
      </c>
      <c r="I39" s="40" t="str">
        <f>INDEX(BRANCHES!$C$2:$C$61,MATCH($G39,BRANCHES!$A$2:$A$61,0))</f>
        <v>Atlanta</v>
      </c>
    </row>
    <row r="40" spans="1:9" x14ac:dyDescent="0.3">
      <c r="A40" s="36">
        <v>139</v>
      </c>
      <c r="B40" s="36">
        <v>27</v>
      </c>
      <c r="C40" s="36" t="s">
        <v>186</v>
      </c>
      <c r="D40" s="39">
        <v>9200</v>
      </c>
      <c r="E40" s="37">
        <v>43739</v>
      </c>
      <c r="F40" s="36" t="s">
        <v>176</v>
      </c>
      <c r="G40" s="40">
        <f>INDEX(CUSTOMERS!$H$2:$H$61,MATCH($B40,CUSTOMERS!$A$2:$A$61,0))</f>
        <v>14</v>
      </c>
      <c r="H40" s="40" t="str">
        <f>INDEX(BRANCHES!$B$2:$B$61,MATCH($G40,BRANCHES!$A$2:$A$61,0))</f>
        <v>Midtown Branch</v>
      </c>
      <c r="I40" s="40" t="str">
        <f>INDEX(BRANCHES!$C$2:$C$61,MATCH($G40,BRANCHES!$A$2:$A$61,0))</f>
        <v>Atlanta</v>
      </c>
    </row>
    <row r="41" spans="1:9" x14ac:dyDescent="0.3">
      <c r="A41" s="36">
        <v>140</v>
      </c>
      <c r="B41" s="36">
        <v>28</v>
      </c>
      <c r="C41" s="36" t="s">
        <v>185</v>
      </c>
      <c r="D41" s="39">
        <v>16000</v>
      </c>
      <c r="E41" s="37">
        <v>44210</v>
      </c>
      <c r="F41" s="36" t="s">
        <v>176</v>
      </c>
      <c r="G41" s="40">
        <f>INDEX(CUSTOMERS!$H$2:$H$61,MATCH($B41,CUSTOMERS!$A$2:$A$61,0))</f>
        <v>14</v>
      </c>
      <c r="H41" s="40" t="str">
        <f>INDEX(BRANCHES!$B$2:$B$61,MATCH($G41,BRANCHES!$A$2:$A$61,0))</f>
        <v>Midtown Branch</v>
      </c>
      <c r="I41" s="40" t="str">
        <f>INDEX(BRANCHES!$C$2:$C$61,MATCH($G41,BRANCHES!$A$2:$A$61,0))</f>
        <v>Atlanta</v>
      </c>
    </row>
    <row r="42" spans="1:9" x14ac:dyDescent="0.3">
      <c r="A42" s="36">
        <v>141</v>
      </c>
      <c r="B42" s="36">
        <v>29</v>
      </c>
      <c r="C42" s="36" t="s">
        <v>186</v>
      </c>
      <c r="D42" s="39">
        <v>3800</v>
      </c>
      <c r="E42" s="37">
        <v>44042</v>
      </c>
      <c r="F42" s="36" t="s">
        <v>176</v>
      </c>
      <c r="G42" s="40">
        <f>INDEX(CUSTOMERS!$H$2:$H$61,MATCH($B42,CUSTOMERS!$A$2:$A$61,0))</f>
        <v>15</v>
      </c>
      <c r="H42" s="40" t="str">
        <f>INDEX(BRANCHES!$B$2:$B$61,MATCH($G42,BRANCHES!$A$2:$A$61,0))</f>
        <v>Garden Branch</v>
      </c>
      <c r="I42" s="40" t="str">
        <f>INDEX(BRANCHES!$C$2:$C$61,MATCH($G42,BRANCHES!$A$2:$A$61,0))</f>
        <v>Portland</v>
      </c>
    </row>
    <row r="43" spans="1:9" x14ac:dyDescent="0.3">
      <c r="A43" s="36">
        <v>142</v>
      </c>
      <c r="B43" s="36">
        <v>29</v>
      </c>
      <c r="C43" s="36" t="s">
        <v>185</v>
      </c>
      <c r="D43" s="39">
        <v>22500</v>
      </c>
      <c r="E43" s="37">
        <v>44058</v>
      </c>
      <c r="F43" s="36" t="s">
        <v>176</v>
      </c>
      <c r="G43" s="40">
        <f>INDEX(CUSTOMERS!$H$2:$H$61,MATCH($B43,CUSTOMERS!$A$2:$A$61,0))</f>
        <v>15</v>
      </c>
      <c r="H43" s="40" t="str">
        <f>INDEX(BRANCHES!$B$2:$B$61,MATCH($G43,BRANCHES!$A$2:$A$61,0))</f>
        <v>Garden Branch</v>
      </c>
      <c r="I43" s="40" t="str">
        <f>INDEX(BRANCHES!$C$2:$C$61,MATCH($G43,BRANCHES!$A$2:$A$61,0))</f>
        <v>Portland</v>
      </c>
    </row>
    <row r="44" spans="1:9" x14ac:dyDescent="0.3">
      <c r="A44" s="36">
        <v>143</v>
      </c>
      <c r="B44" s="36">
        <v>30</v>
      </c>
      <c r="C44" s="36" t="s">
        <v>185</v>
      </c>
      <c r="D44" s="39">
        <v>4100</v>
      </c>
      <c r="E44" s="37">
        <v>44885</v>
      </c>
      <c r="F44" s="36" t="s">
        <v>176</v>
      </c>
      <c r="G44" s="40">
        <f>INDEX(CUSTOMERS!$H$2:$H$61,MATCH($B44,CUSTOMERS!$A$2:$A$61,0))</f>
        <v>15</v>
      </c>
      <c r="H44" s="40" t="str">
        <f>INDEX(BRANCHES!$B$2:$B$61,MATCH($G44,BRANCHES!$A$2:$A$61,0))</f>
        <v>Garden Branch</v>
      </c>
      <c r="I44" s="40" t="str">
        <f>INDEX(BRANCHES!$C$2:$C$61,MATCH($G44,BRANCHES!$A$2:$A$61,0))</f>
        <v>Portland</v>
      </c>
    </row>
    <row r="45" spans="1:9" x14ac:dyDescent="0.3">
      <c r="A45" s="36">
        <v>144</v>
      </c>
      <c r="B45" s="36">
        <v>31</v>
      </c>
      <c r="C45" s="36" t="s">
        <v>186</v>
      </c>
      <c r="D45" s="39">
        <v>6700</v>
      </c>
      <c r="E45" s="37">
        <v>43439</v>
      </c>
      <c r="F45" s="36" t="s">
        <v>176</v>
      </c>
      <c r="G45" s="40">
        <f>INDEX(CUSTOMERS!$H$2:$H$61,MATCH($B45,CUSTOMERS!$A$2:$A$61,0))</f>
        <v>6</v>
      </c>
      <c r="H45" s="40" t="str">
        <f>INDEX(BRANCHES!$B$2:$B$61,MATCH($G45,BRANCHES!$A$2:$A$61,0))</f>
        <v>South Branch</v>
      </c>
      <c r="I45" s="40" t="str">
        <f>INDEX(BRANCHES!$C$2:$C$61,MATCH($G45,BRANCHES!$A$2:$A$61,0))</f>
        <v>Miami</v>
      </c>
    </row>
    <row r="46" spans="1:9" x14ac:dyDescent="0.3">
      <c r="A46" s="36">
        <v>145</v>
      </c>
      <c r="B46" s="36">
        <v>31</v>
      </c>
      <c r="C46" s="36" t="s">
        <v>185</v>
      </c>
      <c r="D46" s="39">
        <v>43000</v>
      </c>
      <c r="E46" s="37">
        <v>43475</v>
      </c>
      <c r="F46" s="36" t="s">
        <v>176</v>
      </c>
      <c r="G46" s="40">
        <f>INDEX(CUSTOMERS!$H$2:$H$61,MATCH($B46,CUSTOMERS!$A$2:$A$61,0))</f>
        <v>6</v>
      </c>
      <c r="H46" s="40" t="str">
        <f>INDEX(BRANCHES!$B$2:$B$61,MATCH($G46,BRANCHES!$A$2:$A$61,0))</f>
        <v>South Branch</v>
      </c>
      <c r="I46" s="40" t="str">
        <f>INDEX(BRANCHES!$C$2:$C$61,MATCH($G46,BRANCHES!$A$2:$A$61,0))</f>
        <v>Miami</v>
      </c>
    </row>
    <row r="47" spans="1:9" x14ac:dyDescent="0.3">
      <c r="A47" s="36">
        <v>146</v>
      </c>
      <c r="B47" s="36">
        <v>32</v>
      </c>
      <c r="C47" s="36" t="s">
        <v>185</v>
      </c>
      <c r="D47" s="39">
        <v>19500</v>
      </c>
      <c r="E47" s="37">
        <v>43907</v>
      </c>
      <c r="F47" s="36" t="s">
        <v>176</v>
      </c>
      <c r="G47" s="40">
        <f>INDEX(CUSTOMERS!$H$2:$H$61,MATCH($B47,CUSTOMERS!$A$2:$A$61,0))</f>
        <v>7</v>
      </c>
      <c r="H47" s="40" t="str">
        <f>INDEX(BRANCHES!$B$2:$B$61,MATCH($G47,BRANCHES!$A$2:$A$61,0))</f>
        <v>Central Branch</v>
      </c>
      <c r="I47" s="40" t="str">
        <f>INDEX(BRANCHES!$C$2:$C$61,MATCH($G47,BRANCHES!$A$2:$A$61,0))</f>
        <v>Dallas</v>
      </c>
    </row>
    <row r="48" spans="1:9" x14ac:dyDescent="0.3">
      <c r="A48" s="36">
        <v>147</v>
      </c>
      <c r="B48" s="36">
        <v>33</v>
      </c>
      <c r="C48" s="36" t="s">
        <v>186</v>
      </c>
      <c r="D48" s="39">
        <v>2900</v>
      </c>
      <c r="E48" s="37">
        <v>44369</v>
      </c>
      <c r="F48" s="36" t="s">
        <v>176</v>
      </c>
      <c r="G48" s="40">
        <f>INDEX(CUSTOMERS!$H$2:$H$61,MATCH($B48,CUSTOMERS!$A$2:$A$61,0))</f>
        <v>8</v>
      </c>
      <c r="H48" s="40" t="str">
        <f>INDEX(BRANCHES!$B$2:$B$61,MATCH($G48,BRANCHES!$A$2:$A$61,0))</f>
        <v>NorthWest Branch</v>
      </c>
      <c r="I48" s="40" t="str">
        <f>INDEX(BRANCHES!$C$2:$C$61,MATCH($G48,BRANCHES!$A$2:$A$61,0))</f>
        <v>Seattle</v>
      </c>
    </row>
    <row r="49" spans="1:9" x14ac:dyDescent="0.3">
      <c r="A49" s="36">
        <v>148</v>
      </c>
      <c r="B49" s="36">
        <v>34</v>
      </c>
      <c r="C49" s="36" t="s">
        <v>185</v>
      </c>
      <c r="D49" s="39">
        <v>71000</v>
      </c>
      <c r="E49" s="37">
        <v>43747</v>
      </c>
      <c r="F49" s="36" t="s">
        <v>176</v>
      </c>
      <c r="G49" s="40">
        <f>INDEX(CUSTOMERS!$H$2:$H$61,MATCH($B49,CUSTOMERS!$A$2:$A$61,0))</f>
        <v>9</v>
      </c>
      <c r="H49" s="40" t="str">
        <f>INDEX(BRANCHES!$B$2:$B$61,MATCH($G49,BRANCHES!$A$2:$A$61,0))</f>
        <v>Harbor Branch</v>
      </c>
      <c r="I49" s="40" t="str">
        <f>INDEX(BRANCHES!$C$2:$C$61,MATCH($G49,BRANCHES!$A$2:$A$61,0))</f>
        <v>Boston</v>
      </c>
    </row>
    <row r="50" spans="1:9" x14ac:dyDescent="0.3">
      <c r="A50" s="36">
        <v>149</v>
      </c>
      <c r="B50" s="36">
        <v>35</v>
      </c>
      <c r="C50" s="36" t="s">
        <v>186</v>
      </c>
      <c r="D50" s="39">
        <v>1500</v>
      </c>
      <c r="E50" s="37">
        <v>44664</v>
      </c>
      <c r="F50" s="36" t="s">
        <v>176</v>
      </c>
      <c r="G50" s="40">
        <f>INDEX(CUSTOMERS!$H$2:$H$61,MATCH($B50,CUSTOMERS!$A$2:$A$61,0))</f>
        <v>10</v>
      </c>
      <c r="H50" s="40" t="str">
        <f>INDEX(BRANCHES!$B$2:$B$61,MATCH($G50,BRANCHES!$A$2:$A$61,0))</f>
        <v>Lakeside Branch</v>
      </c>
      <c r="I50" s="40" t="str">
        <f>INDEX(BRANCHES!$C$2:$C$61,MATCH($G50,BRANCHES!$A$2:$A$61,0))</f>
        <v>Denver</v>
      </c>
    </row>
    <row r="51" spans="1:9" x14ac:dyDescent="0.3">
      <c r="A51" s="36">
        <v>150</v>
      </c>
      <c r="B51" s="36">
        <v>36</v>
      </c>
      <c r="C51" s="36" t="s">
        <v>185</v>
      </c>
      <c r="D51" s="39">
        <v>33000</v>
      </c>
      <c r="E51" s="37">
        <v>44101</v>
      </c>
      <c r="F51" s="36" t="s">
        <v>176</v>
      </c>
      <c r="G51" s="40">
        <f>INDEX(CUSTOMERS!$H$2:$H$61,MATCH($B51,CUSTOMERS!$A$2:$A$61,0))</f>
        <v>11</v>
      </c>
      <c r="H51" s="40" t="str">
        <f>INDEX(BRANCHES!$B$2:$B$61,MATCH($G51,BRANCHES!$A$2:$A$61,0))</f>
        <v>Bay Branch</v>
      </c>
      <c r="I51" s="40" t="str">
        <f>INDEX(BRANCHES!$C$2:$C$61,MATCH($G51,BRANCHES!$A$2:$A$61,0))</f>
        <v>San Francisco</v>
      </c>
    </row>
    <row r="52" spans="1:9" x14ac:dyDescent="0.3">
      <c r="A52" s="36">
        <v>151</v>
      </c>
      <c r="B52" s="36">
        <v>36</v>
      </c>
      <c r="C52" s="36" t="s">
        <v>186</v>
      </c>
      <c r="D52" s="39">
        <v>7800</v>
      </c>
      <c r="E52" s="37">
        <v>44114</v>
      </c>
      <c r="F52" s="36" t="s">
        <v>176</v>
      </c>
      <c r="G52" s="40">
        <f>INDEX(CUSTOMERS!$H$2:$H$61,MATCH($B52,CUSTOMERS!$A$2:$A$61,0))</f>
        <v>11</v>
      </c>
      <c r="H52" s="40" t="str">
        <f>INDEX(BRANCHES!$B$2:$B$61,MATCH($G52,BRANCHES!$A$2:$A$61,0))</f>
        <v>Bay Branch</v>
      </c>
      <c r="I52" s="40" t="str">
        <f>INDEX(BRANCHES!$C$2:$C$61,MATCH($G52,BRANCHES!$A$2:$A$61,0))</f>
        <v>San Francisco</v>
      </c>
    </row>
    <row r="53" spans="1:9" x14ac:dyDescent="0.3">
      <c r="A53" s="36">
        <v>152</v>
      </c>
      <c r="B53" s="36">
        <v>37</v>
      </c>
      <c r="C53" s="36" t="s">
        <v>185</v>
      </c>
      <c r="D53" s="39">
        <v>48000</v>
      </c>
      <c r="E53" s="37">
        <v>43328</v>
      </c>
      <c r="F53" s="36" t="s">
        <v>176</v>
      </c>
      <c r="G53" s="40">
        <f>INDEX(CUSTOMERS!$H$2:$H$61,MATCH($B53,CUSTOMERS!$A$2:$A$61,0))</f>
        <v>12</v>
      </c>
      <c r="H53" s="40" t="str">
        <f>INDEX(BRANCHES!$B$2:$B$61,MATCH($G53,BRANCHES!$A$2:$A$61,0))</f>
        <v>Riverside Branch</v>
      </c>
      <c r="I53" s="40" t="str">
        <f>INDEX(BRANCHES!$C$2:$C$61,MATCH($G53,BRANCHES!$A$2:$A$61,0))</f>
        <v>Phoenix</v>
      </c>
    </row>
    <row r="54" spans="1:9" x14ac:dyDescent="0.3">
      <c r="A54" s="36">
        <v>153</v>
      </c>
      <c r="B54" s="36">
        <v>38</v>
      </c>
      <c r="C54" s="36" t="s">
        <v>186</v>
      </c>
      <c r="D54" s="39">
        <v>3200</v>
      </c>
      <c r="E54" s="37">
        <v>44235</v>
      </c>
      <c r="F54" s="36" t="s">
        <v>176</v>
      </c>
      <c r="G54" s="40">
        <f>INDEX(CUSTOMERS!$H$2:$H$61,MATCH($B54,CUSTOMERS!$A$2:$A$61,0))</f>
        <v>13</v>
      </c>
      <c r="H54" s="40" t="str">
        <f>INDEX(BRANCHES!$B$2:$B$61,MATCH($G54,BRANCHES!$A$2:$A$61,0))</f>
        <v>Metro Branch</v>
      </c>
      <c r="I54" s="40" t="str">
        <f>INDEX(BRANCHES!$C$2:$C$61,MATCH($G54,BRANCHES!$A$2:$A$61,0))</f>
        <v>Philadelphia</v>
      </c>
    </row>
    <row r="55" spans="1:9" x14ac:dyDescent="0.3">
      <c r="A55" s="36">
        <v>154</v>
      </c>
      <c r="B55" s="36">
        <v>39</v>
      </c>
      <c r="C55" s="36" t="s">
        <v>185</v>
      </c>
      <c r="D55" s="39">
        <v>26000</v>
      </c>
      <c r="E55" s="37">
        <v>43972</v>
      </c>
      <c r="F55" s="36" t="s">
        <v>176</v>
      </c>
      <c r="G55" s="40">
        <f>INDEX(CUSTOMERS!$H$2:$H$61,MATCH($B55,CUSTOMERS!$A$2:$A$61,0))</f>
        <v>14</v>
      </c>
      <c r="H55" s="40" t="str">
        <f>INDEX(BRANCHES!$B$2:$B$61,MATCH($G55,BRANCHES!$A$2:$A$61,0))</f>
        <v>Midtown Branch</v>
      </c>
      <c r="I55" s="40" t="str">
        <f>INDEX(BRANCHES!$C$2:$C$61,MATCH($G55,BRANCHES!$A$2:$A$61,0))</f>
        <v>Atlanta</v>
      </c>
    </row>
    <row r="56" spans="1:9" x14ac:dyDescent="0.3">
      <c r="A56" s="36">
        <v>155</v>
      </c>
      <c r="B56" s="36">
        <v>40</v>
      </c>
      <c r="C56" s="36" t="s">
        <v>186</v>
      </c>
      <c r="D56" s="39">
        <v>4400</v>
      </c>
      <c r="E56" s="37">
        <v>44777</v>
      </c>
      <c r="F56" s="36" t="s">
        <v>176</v>
      </c>
      <c r="G56" s="40">
        <f>INDEX(CUSTOMERS!$H$2:$H$61,MATCH($B56,CUSTOMERS!$A$2:$A$61,0))</f>
        <v>15</v>
      </c>
      <c r="H56" s="40" t="str">
        <f>INDEX(BRANCHES!$B$2:$B$61,MATCH($G56,BRANCHES!$A$2:$A$61,0))</f>
        <v>Garden Branch</v>
      </c>
      <c r="I56" s="40" t="str">
        <f>INDEX(BRANCHES!$C$2:$C$61,MATCH($G56,BRANCHES!$A$2:$A$61,0))</f>
        <v>Portland</v>
      </c>
    </row>
    <row r="57" spans="1:9" x14ac:dyDescent="0.3">
      <c r="A57" s="36">
        <v>156</v>
      </c>
      <c r="B57" s="36">
        <v>41</v>
      </c>
      <c r="C57" s="36" t="s">
        <v>185</v>
      </c>
      <c r="D57" s="39">
        <v>13500</v>
      </c>
      <c r="E57" s="37">
        <v>43495</v>
      </c>
      <c r="F57" s="36" t="s">
        <v>176</v>
      </c>
      <c r="G57" s="40">
        <f>INDEX(CUSTOMERS!$H$2:$H$61,MATCH($B57,CUSTOMERS!$A$2:$A$61,0))</f>
        <v>1</v>
      </c>
      <c r="H57" s="40" t="str">
        <f>INDEX(BRANCHES!$B$2:$B$61,MATCH($G57,BRANCHES!$A$2:$A$61,0))</f>
        <v>Main Branch</v>
      </c>
      <c r="I57" s="40" t="str">
        <f>INDEX(BRANCHES!$C$2:$C$61,MATCH($G57,BRANCHES!$A$2:$A$61,0))</f>
        <v>New York</v>
      </c>
    </row>
    <row r="58" spans="1:9" x14ac:dyDescent="0.3">
      <c r="A58" s="36">
        <v>157</v>
      </c>
      <c r="B58" s="36">
        <v>42</v>
      </c>
      <c r="C58" s="36" t="s">
        <v>186</v>
      </c>
      <c r="D58" s="39">
        <v>2600</v>
      </c>
      <c r="E58" s="37">
        <v>44393</v>
      </c>
      <c r="F58" s="36" t="s">
        <v>176</v>
      </c>
      <c r="G58" s="40">
        <f>INDEX(CUSTOMERS!$H$2:$H$61,MATCH($B58,CUSTOMERS!$A$2:$A$61,0))</f>
        <v>2</v>
      </c>
      <c r="H58" s="40" t="str">
        <f>INDEX(BRANCHES!$B$2:$B$61,MATCH($G58,BRANCHES!$A$2:$A$61,0))</f>
        <v>Downtown Branch</v>
      </c>
      <c r="I58" s="40" t="str">
        <f>INDEX(BRANCHES!$C$2:$C$61,MATCH($G58,BRANCHES!$A$2:$A$61,0))</f>
        <v>New York</v>
      </c>
    </row>
    <row r="59" spans="1:9" x14ac:dyDescent="0.3">
      <c r="A59" s="36">
        <v>158</v>
      </c>
      <c r="B59" s="36">
        <v>43</v>
      </c>
      <c r="C59" s="36" t="s">
        <v>185</v>
      </c>
      <c r="D59" s="39">
        <v>17000</v>
      </c>
      <c r="E59" s="37">
        <v>44138</v>
      </c>
      <c r="F59" s="36" t="s">
        <v>176</v>
      </c>
      <c r="G59" s="40">
        <f>INDEX(CUSTOMERS!$H$2:$H$61,MATCH($B59,CUSTOMERS!$A$2:$A$61,0))</f>
        <v>3</v>
      </c>
      <c r="H59" s="40" t="str">
        <f>INDEX(BRANCHES!$B$2:$B$61,MATCH($G59,BRANCHES!$A$2:$A$61,0))</f>
        <v>West Branch</v>
      </c>
      <c r="I59" s="40" t="str">
        <f>INDEX(BRANCHES!$C$2:$C$61,MATCH($G59,BRANCHES!$A$2:$A$61,0))</f>
        <v>Los Angeles</v>
      </c>
    </row>
    <row r="60" spans="1:9" x14ac:dyDescent="0.3">
      <c r="A60" s="36">
        <v>159</v>
      </c>
      <c r="B60" s="36">
        <v>44</v>
      </c>
      <c r="C60" s="36" t="s">
        <v>186</v>
      </c>
      <c r="D60" s="39">
        <v>5900</v>
      </c>
      <c r="E60" s="37">
        <v>43247</v>
      </c>
      <c r="F60" s="36" t="s">
        <v>176</v>
      </c>
      <c r="G60" s="40">
        <f>INDEX(CUSTOMERS!$H$2:$H$61,MATCH($B60,CUSTOMERS!$A$2:$A$61,0))</f>
        <v>4</v>
      </c>
      <c r="H60" s="40" t="str">
        <f>INDEX(BRANCHES!$B$2:$B$61,MATCH($G60,BRANCHES!$A$2:$A$61,0))</f>
        <v>North Branch</v>
      </c>
      <c r="I60" s="40" t="str">
        <f>INDEX(BRANCHES!$C$2:$C$61,MATCH($G60,BRANCHES!$A$2:$A$61,0))</f>
        <v>Chicago</v>
      </c>
    </row>
    <row r="61" spans="1:9" x14ac:dyDescent="0.3">
      <c r="A61" s="36">
        <v>160</v>
      </c>
      <c r="B61" s="36">
        <v>44</v>
      </c>
      <c r="C61" s="36" t="s">
        <v>185</v>
      </c>
      <c r="D61" s="39">
        <v>61000</v>
      </c>
      <c r="E61" s="37">
        <v>43261</v>
      </c>
      <c r="F61" s="36" t="s">
        <v>176</v>
      </c>
      <c r="G61" s="40">
        <f>INDEX(CUSTOMERS!$H$2:$H$61,MATCH($B61,CUSTOMERS!$A$2:$A$61,0))</f>
        <v>4</v>
      </c>
      <c r="H61" s="40" t="str">
        <f>INDEX(BRANCHES!$B$2:$B$61,MATCH($G61,BRANCHES!$A$2:$A$61,0))</f>
        <v>North Branch</v>
      </c>
      <c r="I61" s="40" t="str">
        <f>INDEX(BRANCHES!$C$2:$C$61,MATCH($G61,BRANCHES!$A$2:$A$61,0))</f>
        <v>Chicago</v>
      </c>
    </row>
    <row r="62" spans="1:9" x14ac:dyDescent="0.3">
      <c r="A62" s="36">
        <v>161</v>
      </c>
      <c r="B62" s="36">
        <v>45</v>
      </c>
      <c r="C62" s="36" t="s">
        <v>186</v>
      </c>
      <c r="D62" s="39">
        <v>1100</v>
      </c>
      <c r="E62" s="37">
        <v>44722</v>
      </c>
      <c r="F62" s="36" t="s">
        <v>176</v>
      </c>
      <c r="G62" s="40">
        <f>INDEX(CUSTOMERS!$H$2:$H$61,MATCH($B62,CUSTOMERS!$A$2:$A$61,0))</f>
        <v>5</v>
      </c>
      <c r="H62" s="40" t="str">
        <f>INDEX(BRANCHES!$B$2:$B$61,MATCH($G62,BRANCHES!$A$2:$A$61,0))</f>
        <v>East Branch</v>
      </c>
      <c r="I62" s="40" t="str">
        <f>INDEX(BRANCHES!$C$2:$C$61,MATCH($G62,BRANCHES!$A$2:$A$61,0))</f>
        <v>Houston</v>
      </c>
    </row>
    <row r="63" spans="1:9" x14ac:dyDescent="0.3">
      <c r="A63" s="36">
        <v>162</v>
      </c>
      <c r="B63" s="36">
        <v>46</v>
      </c>
      <c r="C63" s="36" t="s">
        <v>185</v>
      </c>
      <c r="D63" s="39">
        <v>29000</v>
      </c>
      <c r="E63" s="37">
        <v>43569</v>
      </c>
      <c r="F63" s="36" t="s">
        <v>176</v>
      </c>
      <c r="G63" s="40">
        <f>INDEX(CUSTOMERS!$H$2:$H$61,MATCH($B63,CUSTOMERS!$A$2:$A$61,0))</f>
        <v>6</v>
      </c>
      <c r="H63" s="40" t="str">
        <f>INDEX(BRANCHES!$B$2:$B$61,MATCH($G63,BRANCHES!$A$2:$A$61,0))</f>
        <v>South Branch</v>
      </c>
      <c r="I63" s="40" t="str">
        <f>INDEX(BRANCHES!$C$2:$C$61,MATCH($G63,BRANCHES!$A$2:$A$61,0))</f>
        <v>Miami</v>
      </c>
    </row>
    <row r="64" spans="1:9" x14ac:dyDescent="0.3">
      <c r="A64" s="36">
        <v>163</v>
      </c>
      <c r="B64" s="36">
        <v>47</v>
      </c>
      <c r="C64" s="36" t="s">
        <v>186</v>
      </c>
      <c r="D64" s="39">
        <v>3700</v>
      </c>
      <c r="E64" s="37">
        <v>44497</v>
      </c>
      <c r="F64" s="36" t="s">
        <v>176</v>
      </c>
      <c r="G64" s="40">
        <f>INDEX(CUSTOMERS!$H$2:$H$61,MATCH($B64,CUSTOMERS!$A$2:$A$61,0))</f>
        <v>7</v>
      </c>
      <c r="H64" s="40" t="str">
        <f>INDEX(BRANCHES!$B$2:$B$61,MATCH($G64,BRANCHES!$A$2:$A$61,0))</f>
        <v>Central Branch</v>
      </c>
      <c r="I64" s="40" t="str">
        <f>INDEX(BRANCHES!$C$2:$C$61,MATCH($G64,BRANCHES!$A$2:$A$61,0))</f>
        <v>Dallas</v>
      </c>
    </row>
    <row r="65" spans="1:9" x14ac:dyDescent="0.3">
      <c r="A65" s="36">
        <v>164</v>
      </c>
      <c r="B65" s="36">
        <v>48</v>
      </c>
      <c r="C65" s="36" t="s">
        <v>185</v>
      </c>
      <c r="D65" s="39">
        <v>42000</v>
      </c>
      <c r="E65" s="37">
        <v>43870</v>
      </c>
      <c r="F65" s="36" t="s">
        <v>176</v>
      </c>
      <c r="G65" s="40">
        <f>INDEX(CUSTOMERS!$H$2:$H$61,MATCH($B65,CUSTOMERS!$A$2:$A$61,0))</f>
        <v>8</v>
      </c>
      <c r="H65" s="40" t="str">
        <f>INDEX(BRANCHES!$B$2:$B$61,MATCH($G65,BRANCHES!$A$2:$A$61,0))</f>
        <v>NorthWest Branch</v>
      </c>
      <c r="I65" s="40" t="str">
        <f>INDEX(BRANCHES!$C$2:$C$61,MATCH($G65,BRANCHES!$A$2:$A$61,0))</f>
        <v>Seattle</v>
      </c>
    </row>
    <row r="66" spans="1:9" x14ac:dyDescent="0.3">
      <c r="A66" s="36">
        <v>165</v>
      </c>
      <c r="B66" s="36">
        <v>49</v>
      </c>
      <c r="C66" s="36" t="s">
        <v>186</v>
      </c>
      <c r="D66" s="39">
        <v>800</v>
      </c>
      <c r="E66" s="37">
        <v>44761</v>
      </c>
      <c r="F66" s="36" t="s">
        <v>176</v>
      </c>
      <c r="G66" s="40">
        <f>INDEX(CUSTOMERS!$H$2:$H$61,MATCH($B66,CUSTOMERS!$A$2:$A$61,0))</f>
        <v>9</v>
      </c>
      <c r="H66" s="40" t="str">
        <f>INDEX(BRANCHES!$B$2:$B$61,MATCH($G66,BRANCHES!$A$2:$A$61,0))</f>
        <v>Harbor Branch</v>
      </c>
      <c r="I66" s="40" t="str">
        <f>INDEX(BRANCHES!$C$2:$C$61,MATCH($G66,BRANCHES!$A$2:$A$61,0))</f>
        <v>Boston</v>
      </c>
    </row>
    <row r="67" spans="1:9" x14ac:dyDescent="0.3">
      <c r="A67" s="36">
        <v>166</v>
      </c>
      <c r="B67" s="36">
        <v>50</v>
      </c>
      <c r="C67" s="36" t="s">
        <v>185</v>
      </c>
      <c r="D67" s="39">
        <v>10500</v>
      </c>
      <c r="E67" s="37">
        <v>44261</v>
      </c>
      <c r="F67" s="36" t="s">
        <v>176</v>
      </c>
      <c r="G67" s="40">
        <f>INDEX(CUSTOMERS!$H$2:$H$61,MATCH($B67,CUSTOMERS!$A$2:$A$61,0))</f>
        <v>10</v>
      </c>
      <c r="H67" s="40" t="str">
        <f>INDEX(BRANCHES!$B$2:$B$61,MATCH($G67,BRANCHES!$A$2:$A$61,0))</f>
        <v>Lakeside Branch</v>
      </c>
      <c r="I67" s="40" t="str">
        <f>INDEX(BRANCHES!$C$2:$C$61,MATCH($G67,BRANCHES!$A$2:$A$61,0))</f>
        <v>Denver</v>
      </c>
    </row>
    <row r="68" spans="1:9" x14ac:dyDescent="0.3">
      <c r="A68" s="36">
        <v>167</v>
      </c>
      <c r="B68" s="36">
        <v>50</v>
      </c>
      <c r="C68" s="36" t="s">
        <v>186</v>
      </c>
      <c r="D68" s="39">
        <v>2200</v>
      </c>
      <c r="E68" s="37">
        <v>44287</v>
      </c>
      <c r="F68" s="36" t="s">
        <v>176</v>
      </c>
      <c r="G68" s="40">
        <f>INDEX(CUSTOMERS!$H$2:$H$61,MATCH($B68,CUSTOMERS!$A$2:$A$61,0))</f>
        <v>10</v>
      </c>
      <c r="H68" s="40" t="str">
        <f>INDEX(BRANCHES!$B$2:$B$61,MATCH($G68,BRANCHES!$A$2:$A$61,0))</f>
        <v>Lakeside Branch</v>
      </c>
      <c r="I68" s="40" t="str">
        <f>INDEX(BRANCHES!$C$2:$C$61,MATCH($G68,BRANCHES!$A$2:$A$61,0))</f>
        <v>Denver</v>
      </c>
    </row>
    <row r="69" spans="1:9" x14ac:dyDescent="0.3">
      <c r="A69" s="36">
        <v>168</v>
      </c>
      <c r="B69" s="36">
        <v>3</v>
      </c>
      <c r="C69" s="36" t="s">
        <v>185</v>
      </c>
      <c r="D69" s="39">
        <v>15000</v>
      </c>
      <c r="E69" s="37">
        <v>44936</v>
      </c>
      <c r="F69" s="36" t="s">
        <v>176</v>
      </c>
      <c r="G69" s="40">
        <f>INDEX(CUSTOMERS!$H$2:$H$61,MATCH($B69,CUSTOMERS!$A$2:$A$61,0))</f>
        <v>3</v>
      </c>
      <c r="H69" s="40" t="str">
        <f>INDEX(BRANCHES!$B$2:$B$61,MATCH($G69,BRANCHES!$A$2:$A$61,0))</f>
        <v>West Branch</v>
      </c>
      <c r="I69" s="40" t="str">
        <f>INDEX(BRANCHES!$C$2:$C$61,MATCH($G69,BRANCHES!$A$2:$A$61,0))</f>
        <v>Los Angeles</v>
      </c>
    </row>
    <row r="70" spans="1:9" x14ac:dyDescent="0.3">
      <c r="A70" s="36">
        <v>169</v>
      </c>
      <c r="B70" s="36">
        <v>51</v>
      </c>
      <c r="C70" s="36" t="s">
        <v>185</v>
      </c>
      <c r="D70" s="39">
        <v>32000</v>
      </c>
      <c r="E70" s="37">
        <v>44331</v>
      </c>
      <c r="F70" s="36" t="s">
        <v>176</v>
      </c>
      <c r="G70" s="40">
        <f>INDEX(CUSTOMERS!$H$2:$H$61,MATCH($B70,CUSTOMERS!$A$2:$A$61,0))</f>
        <v>30</v>
      </c>
      <c r="H70" s="40" t="str">
        <f>INDEX(BRANCHES!$B$2:$B$61,MATCH($G70,BRANCHES!$A$2:$A$61,0))</f>
        <v>Strip Branch</v>
      </c>
      <c r="I70" s="40" t="str">
        <f>INDEX(BRANCHES!$C$2:$C$61,MATCH($G70,BRANCHES!$A$2:$A$61,0))</f>
        <v>Las Vegas</v>
      </c>
    </row>
    <row r="71" spans="1:9" x14ac:dyDescent="0.3">
      <c r="A71" s="36">
        <v>170</v>
      </c>
      <c r="B71" s="36">
        <v>51</v>
      </c>
      <c r="C71" s="36" t="s">
        <v>186</v>
      </c>
      <c r="D71" s="39">
        <v>4800</v>
      </c>
      <c r="E71" s="37">
        <v>44348</v>
      </c>
      <c r="F71" s="36" t="s">
        <v>176</v>
      </c>
      <c r="G71" s="40">
        <f>INDEX(CUSTOMERS!$H$2:$H$61,MATCH($B71,CUSTOMERS!$A$2:$A$61,0))</f>
        <v>30</v>
      </c>
      <c r="H71" s="40" t="str">
        <f>INDEX(BRANCHES!$B$2:$B$61,MATCH($G71,BRANCHES!$A$2:$A$61,0))</f>
        <v>Strip Branch</v>
      </c>
      <c r="I71" s="40" t="str">
        <f>INDEX(BRANCHES!$C$2:$C$61,MATCH($G71,BRANCHES!$A$2:$A$61,0))</f>
        <v>Las Vegas</v>
      </c>
    </row>
    <row r="72" spans="1:9" x14ac:dyDescent="0.3">
      <c r="A72" s="36">
        <v>171</v>
      </c>
      <c r="B72" s="36">
        <v>52</v>
      </c>
      <c r="C72" s="36" t="s">
        <v>185</v>
      </c>
      <c r="D72" s="39">
        <v>15500</v>
      </c>
      <c r="E72" s="37">
        <v>44086</v>
      </c>
      <c r="F72" s="36" t="s">
        <v>176</v>
      </c>
      <c r="G72" s="40">
        <f>INDEX(CUSTOMERS!$H$2:$H$61,MATCH($B72,CUSTOMERS!$A$2:$A$61,0))</f>
        <v>31</v>
      </c>
      <c r="H72" s="40" t="str">
        <f>INDEX(BRANCHES!$B$2:$B$61,MATCH($G72,BRANCHES!$A$2:$A$61,0))</f>
        <v>Broadway Branch</v>
      </c>
      <c r="I72" s="40" t="str">
        <f>INDEX(BRANCHES!$C$2:$C$61,MATCH($G72,BRANCHES!$A$2:$A$61,0))</f>
        <v>Nashville</v>
      </c>
    </row>
    <row r="73" spans="1:9" x14ac:dyDescent="0.3">
      <c r="A73" s="36">
        <v>172</v>
      </c>
      <c r="B73" s="36">
        <v>53</v>
      </c>
      <c r="C73" s="36" t="s">
        <v>186</v>
      </c>
      <c r="D73" s="39">
        <v>6200</v>
      </c>
      <c r="E73" s="37">
        <v>43563</v>
      </c>
      <c r="F73" s="36" t="s">
        <v>176</v>
      </c>
      <c r="G73" s="40">
        <f>INDEX(CUSTOMERS!$H$2:$H$61,MATCH($B73,CUSTOMERS!$A$2:$A$61,0))</f>
        <v>32</v>
      </c>
      <c r="H73" s="40" t="str">
        <f>INDEX(BRANCHES!$B$2:$B$61,MATCH($G73,BRANCHES!$A$2:$A$61,0))</f>
        <v>Sixth Street Branch</v>
      </c>
      <c r="I73" s="40" t="str">
        <f>INDEX(BRANCHES!$C$2:$C$61,MATCH($G73,BRANCHES!$A$2:$A$61,0))</f>
        <v>Austin</v>
      </c>
    </row>
    <row r="74" spans="1:9" x14ac:dyDescent="0.3">
      <c r="A74" s="36">
        <v>173</v>
      </c>
      <c r="B74" s="36">
        <v>53</v>
      </c>
      <c r="C74" s="36" t="s">
        <v>185</v>
      </c>
      <c r="D74" s="39">
        <v>78000</v>
      </c>
      <c r="E74" s="37">
        <v>43586</v>
      </c>
      <c r="F74" s="36" t="s">
        <v>176</v>
      </c>
      <c r="G74" s="40">
        <f>INDEX(CUSTOMERS!$H$2:$H$61,MATCH($B74,CUSTOMERS!$A$2:$A$61,0))</f>
        <v>32</v>
      </c>
      <c r="H74" s="40" t="str">
        <f>INDEX(BRANCHES!$B$2:$B$61,MATCH($G74,BRANCHES!$A$2:$A$61,0))</f>
        <v>Sixth Street Branch</v>
      </c>
      <c r="I74" s="40" t="str">
        <f>INDEX(BRANCHES!$C$2:$C$61,MATCH($G74,BRANCHES!$A$2:$A$61,0))</f>
        <v>Austin</v>
      </c>
    </row>
    <row r="75" spans="1:9" x14ac:dyDescent="0.3">
      <c r="A75" s="36">
        <v>174</v>
      </c>
      <c r="B75" s="36">
        <v>54</v>
      </c>
      <c r="C75" s="36" t="s">
        <v>185</v>
      </c>
      <c r="D75" s="39">
        <v>9300</v>
      </c>
      <c r="E75" s="37">
        <v>44606</v>
      </c>
      <c r="F75" s="36" t="s">
        <v>176</v>
      </c>
      <c r="G75" s="40">
        <f>INDEX(CUSTOMERS!$H$2:$H$61,MATCH($B75,CUSTOMERS!$A$2:$A$61,0))</f>
        <v>33</v>
      </c>
      <c r="H75" s="40" t="str">
        <f>INDEX(BRANCHES!$B$2:$B$61,MATCH($G75,BRANCHES!$A$2:$A$61,0))</f>
        <v>Gaslamp Branch</v>
      </c>
      <c r="I75" s="40" t="str">
        <f>INDEX(BRANCHES!$C$2:$C$61,MATCH($G75,BRANCHES!$A$2:$A$61,0))</f>
        <v>San Diego</v>
      </c>
    </row>
    <row r="76" spans="1:9" x14ac:dyDescent="0.3">
      <c r="A76" s="36">
        <v>175</v>
      </c>
      <c r="B76" s="36">
        <v>55</v>
      </c>
      <c r="C76" s="36" t="s">
        <v>186</v>
      </c>
      <c r="D76" s="39">
        <v>3400</v>
      </c>
      <c r="E76" s="37">
        <v>44428</v>
      </c>
      <c r="F76" s="36" t="s">
        <v>176</v>
      </c>
      <c r="G76" s="40">
        <f>INDEX(CUSTOMERS!$H$2:$H$61,MATCH($B76,CUSTOMERS!$A$2:$A$61,0))</f>
        <v>34</v>
      </c>
      <c r="H76" s="40" t="str">
        <f>INDEX(BRANCHES!$B$2:$B$61,MATCH($G76,BRANCHES!$A$2:$A$61,0))</f>
        <v>Midtown Branch</v>
      </c>
      <c r="I76" s="40" t="str">
        <f>INDEX(BRANCHES!$C$2:$C$61,MATCH($G76,BRANCHES!$A$2:$A$61,0))</f>
        <v>Detroit</v>
      </c>
    </row>
    <row r="77" spans="1:9" x14ac:dyDescent="0.3">
      <c r="A77" s="36">
        <v>176</v>
      </c>
      <c r="B77" s="36">
        <v>55</v>
      </c>
      <c r="C77" s="36" t="s">
        <v>185</v>
      </c>
      <c r="D77" s="39">
        <v>21000</v>
      </c>
      <c r="E77" s="37">
        <v>44440</v>
      </c>
      <c r="F77" s="36" t="s">
        <v>176</v>
      </c>
      <c r="G77" s="40">
        <f>INDEX(CUSTOMERS!$H$2:$H$61,MATCH($B77,CUSTOMERS!$A$2:$A$61,0))</f>
        <v>34</v>
      </c>
      <c r="H77" s="40" t="str">
        <f>INDEX(BRANCHES!$B$2:$B$61,MATCH($G77,BRANCHES!$A$2:$A$61,0))</f>
        <v>Midtown Branch</v>
      </c>
      <c r="I77" s="40" t="str">
        <f>INDEX(BRANCHES!$C$2:$C$61,MATCH($G77,BRANCHES!$A$2:$A$61,0))</f>
        <v>Detroit</v>
      </c>
    </row>
    <row r="78" spans="1:9" x14ac:dyDescent="0.3">
      <c r="A78" s="36">
        <v>177</v>
      </c>
      <c r="B78" s="36">
        <v>56</v>
      </c>
      <c r="C78" s="36" t="s">
        <v>185</v>
      </c>
      <c r="D78" s="39">
        <v>44000</v>
      </c>
      <c r="E78" s="37">
        <v>44165</v>
      </c>
      <c r="F78" s="36" t="s">
        <v>176</v>
      </c>
      <c r="G78" s="40">
        <f>INDEX(CUSTOMERS!$H$2:$H$61,MATCH($B78,CUSTOMERS!$A$2:$A$61,0))</f>
        <v>35</v>
      </c>
      <c r="H78" s="40" t="str">
        <f>INDEX(BRANCHES!$B$2:$B$61,MATCH($G78,BRANCHES!$A$2:$A$61,0))</f>
        <v>Uptown Branch</v>
      </c>
      <c r="I78" s="40" t="str">
        <f>INDEX(BRANCHES!$C$2:$C$61,MATCH($G78,BRANCHES!$A$2:$A$61,0))</f>
        <v>Minneapolis</v>
      </c>
    </row>
    <row r="79" spans="1:9" x14ac:dyDescent="0.3">
      <c r="A79" s="36">
        <v>178</v>
      </c>
      <c r="B79" s="36">
        <v>57</v>
      </c>
      <c r="C79" s="36" t="s">
        <v>186</v>
      </c>
      <c r="D79" s="39">
        <v>7100</v>
      </c>
      <c r="E79" s="37">
        <v>43306</v>
      </c>
      <c r="F79" s="36" t="s">
        <v>176</v>
      </c>
      <c r="G79" s="40">
        <f>INDEX(CUSTOMERS!$H$2:$H$61,MATCH($B79,CUSTOMERS!$A$2:$A$61,0))</f>
        <v>36</v>
      </c>
      <c r="H79" s="40" t="str">
        <f>INDEX(BRANCHES!$B$2:$B$61,MATCH($G79,BRANCHES!$A$2:$A$61,0))</f>
        <v>Gateway Branch</v>
      </c>
      <c r="I79" s="40" t="str">
        <f>INDEX(BRANCHES!$C$2:$C$61,MATCH($G79,BRANCHES!$A$2:$A$61,0))</f>
        <v>St. Louis</v>
      </c>
    </row>
    <row r="80" spans="1:9" x14ac:dyDescent="0.3">
      <c r="A80" s="36">
        <v>179</v>
      </c>
      <c r="B80" s="36">
        <v>58</v>
      </c>
      <c r="C80" s="36" t="s">
        <v>185</v>
      </c>
      <c r="D80" s="39">
        <v>13800</v>
      </c>
      <c r="E80" s="37">
        <v>44656</v>
      </c>
      <c r="F80" s="36" t="s">
        <v>176</v>
      </c>
      <c r="G80" s="40">
        <f>INDEX(CUSTOMERS!$H$2:$H$61,MATCH($B80,CUSTOMERS!$A$2:$A$61,0))</f>
        <v>37</v>
      </c>
      <c r="H80" s="40" t="str">
        <f>INDEX(BRANCHES!$B$2:$B$61,MATCH($G80,BRANCHES!$A$2:$A$61,0))</f>
        <v>Inner Harbor Branch</v>
      </c>
      <c r="I80" s="40" t="str">
        <f>INDEX(BRANCHES!$C$2:$C$61,MATCH($G80,BRANCHES!$A$2:$A$61,0))</f>
        <v>Baltimore</v>
      </c>
    </row>
    <row r="81" spans="1:9" x14ac:dyDescent="0.3">
      <c r="A81" s="36">
        <v>180</v>
      </c>
      <c r="B81" s="36">
        <v>59</v>
      </c>
      <c r="C81" s="36" t="s">
        <v>186</v>
      </c>
      <c r="D81" s="39">
        <v>5600</v>
      </c>
      <c r="E81" s="37">
        <v>43756</v>
      </c>
      <c r="F81" s="36" t="s">
        <v>176</v>
      </c>
      <c r="G81" s="40">
        <f>INDEX(CUSTOMERS!$H$2:$H$61,MATCH($B81,CUSTOMERS!$A$2:$A$61,0))</f>
        <v>38</v>
      </c>
      <c r="H81" s="40" t="str">
        <f>INDEX(BRANCHES!$B$2:$B$61,MATCH($G81,BRANCHES!$A$2:$A$61,0))</f>
        <v>Research Branch</v>
      </c>
      <c r="I81" s="40" t="str">
        <f>INDEX(BRANCHES!$C$2:$C$61,MATCH($G81,BRANCHES!$A$2:$A$61,0))</f>
        <v>Raleigh</v>
      </c>
    </row>
    <row r="82" spans="1:9" x14ac:dyDescent="0.3">
      <c r="A82" s="36">
        <v>181</v>
      </c>
      <c r="B82" s="36">
        <v>59</v>
      </c>
      <c r="C82" s="36" t="s">
        <v>185</v>
      </c>
      <c r="D82" s="39">
        <v>37000</v>
      </c>
      <c r="E82" s="37">
        <v>43770</v>
      </c>
      <c r="F82" s="36" t="s">
        <v>176</v>
      </c>
      <c r="G82" s="40">
        <f>INDEX(CUSTOMERS!$H$2:$H$61,MATCH($B82,CUSTOMERS!$A$2:$A$61,0))</f>
        <v>38</v>
      </c>
      <c r="H82" s="40" t="str">
        <f>INDEX(BRANCHES!$B$2:$B$61,MATCH($G82,BRANCHES!$A$2:$A$61,0))</f>
        <v>Research Branch</v>
      </c>
      <c r="I82" s="40" t="str">
        <f>INDEX(BRANCHES!$C$2:$C$61,MATCH($G82,BRANCHES!$A$2:$A$61,0))</f>
        <v>Raleigh</v>
      </c>
    </row>
    <row r="83" spans="1:9" x14ac:dyDescent="0.3">
      <c r="A83" s="36">
        <v>182</v>
      </c>
      <c r="B83" s="36">
        <v>60</v>
      </c>
      <c r="C83" s="36" t="s">
        <v>185</v>
      </c>
      <c r="D83" s="39">
        <v>8700</v>
      </c>
      <c r="E83" s="37">
        <v>44538</v>
      </c>
      <c r="F83" s="36" t="s">
        <v>176</v>
      </c>
      <c r="G83" s="40">
        <f>INDEX(CUSTOMERS!$H$2:$H$61,MATCH($B83,CUSTOMERS!$A$2:$A$61,0))</f>
        <v>39</v>
      </c>
      <c r="H83" s="40" t="str">
        <f>INDEX(BRANCHES!$B$2:$B$61,MATCH($G83,BRANCHES!$A$2:$A$61,0))</f>
        <v>Uptown Branch</v>
      </c>
      <c r="I83" s="40" t="str">
        <f>INDEX(BRANCHES!$C$2:$C$61,MATCH($G83,BRANCHES!$A$2:$A$61,0))</f>
        <v>Charlotte</v>
      </c>
    </row>
  </sheetData>
  <dataValidations count="2">
    <dataValidation type="list" allowBlank="1" errorTitle="Invalid" error="Value not in allowed set" prompt="Allowed: SAVINGS, CHECKING" sqref="C2:C83" xr:uid="{00000000-0002-0000-0C00-000000000000}">
      <formula1>"SAVINGS,CHECKING"</formula1>
      <formula2>0</formula2>
    </dataValidation>
    <dataValidation type="list" allowBlank="1" errorTitle="Invalid" error="Value not in allowed set" prompt="Allowed: ACTIVE, CLOSED" sqref="F2:F83" xr:uid="{00000000-0002-0000-0C00-000001000000}">
      <formula1>"ACTIVE,CLOSED"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8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3" width="12" customWidth="1"/>
    <col min="4" max="4" width="11" customWidth="1"/>
    <col min="5" max="5" width="12" customWidth="1"/>
    <col min="6" max="6" width="21" customWidth="1"/>
  </cols>
  <sheetData>
    <row r="1" spans="1:6" ht="24" customHeight="1" x14ac:dyDescent="0.3">
      <c r="A1" s="23" t="s">
        <v>297</v>
      </c>
      <c r="B1" s="23" t="s">
        <v>296</v>
      </c>
      <c r="C1" s="23" t="s">
        <v>665</v>
      </c>
      <c r="D1" s="23" t="s">
        <v>666</v>
      </c>
      <c r="E1" s="23" t="s">
        <v>667</v>
      </c>
      <c r="F1" s="23" t="s">
        <v>668</v>
      </c>
    </row>
    <row r="2" spans="1:6" x14ac:dyDescent="0.3">
      <c r="A2" s="36">
        <v>1001</v>
      </c>
      <c r="B2" s="36">
        <v>101</v>
      </c>
      <c r="C2" s="36" t="s">
        <v>209</v>
      </c>
      <c r="D2" s="39">
        <v>5000</v>
      </c>
      <c r="E2" s="37">
        <v>45296</v>
      </c>
      <c r="F2" s="36" t="s">
        <v>669</v>
      </c>
    </row>
    <row r="3" spans="1:6" x14ac:dyDescent="0.3">
      <c r="A3" s="36">
        <v>1002</v>
      </c>
      <c r="B3" s="36">
        <v>101</v>
      </c>
      <c r="C3" s="36" t="s">
        <v>211</v>
      </c>
      <c r="D3" s="39">
        <v>1200</v>
      </c>
      <c r="E3" s="37">
        <v>45301</v>
      </c>
      <c r="F3" s="36" t="s">
        <v>670</v>
      </c>
    </row>
    <row r="4" spans="1:6" x14ac:dyDescent="0.3">
      <c r="A4" s="36">
        <v>1003</v>
      </c>
      <c r="B4" s="36">
        <v>102</v>
      </c>
      <c r="C4" s="36" t="s">
        <v>209</v>
      </c>
      <c r="D4" s="39">
        <v>800</v>
      </c>
      <c r="E4" s="37">
        <v>45303</v>
      </c>
      <c r="F4" s="36" t="s">
        <v>671</v>
      </c>
    </row>
    <row r="5" spans="1:6" x14ac:dyDescent="0.3">
      <c r="A5" s="36">
        <v>1004</v>
      </c>
      <c r="B5" s="36">
        <v>103</v>
      </c>
      <c r="C5" s="36" t="s">
        <v>209</v>
      </c>
      <c r="D5" s="39">
        <v>2000</v>
      </c>
      <c r="E5" s="37">
        <v>45306</v>
      </c>
      <c r="F5" s="36" t="s">
        <v>669</v>
      </c>
    </row>
    <row r="6" spans="1:6" x14ac:dyDescent="0.3">
      <c r="A6" s="36">
        <v>1005</v>
      </c>
      <c r="B6" s="36">
        <v>103</v>
      </c>
      <c r="C6" s="36" t="s">
        <v>211</v>
      </c>
      <c r="D6" s="39">
        <v>500</v>
      </c>
      <c r="E6" s="37">
        <v>45309</v>
      </c>
      <c r="F6" s="36" t="s">
        <v>672</v>
      </c>
    </row>
    <row r="7" spans="1:6" x14ac:dyDescent="0.3">
      <c r="A7" s="36">
        <v>1006</v>
      </c>
      <c r="B7" s="36">
        <v>104</v>
      </c>
      <c r="C7" s="36" t="s">
        <v>211</v>
      </c>
      <c r="D7" s="39">
        <v>300</v>
      </c>
      <c r="E7" s="37">
        <v>45311</v>
      </c>
      <c r="F7" s="36" t="s">
        <v>673</v>
      </c>
    </row>
    <row r="8" spans="1:6" x14ac:dyDescent="0.3">
      <c r="A8" s="36">
        <v>1007</v>
      </c>
      <c r="B8" s="36">
        <v>105</v>
      </c>
      <c r="C8" s="36" t="s">
        <v>209</v>
      </c>
      <c r="D8" s="39">
        <v>10000</v>
      </c>
      <c r="E8" s="37">
        <v>45313</v>
      </c>
      <c r="F8" s="36" t="s">
        <v>674</v>
      </c>
    </row>
    <row r="9" spans="1:6" x14ac:dyDescent="0.3">
      <c r="A9" s="36">
        <v>1008</v>
      </c>
      <c r="B9" s="36">
        <v>106</v>
      </c>
      <c r="C9" s="36" t="s">
        <v>211</v>
      </c>
      <c r="D9" s="39">
        <v>200</v>
      </c>
      <c r="E9" s="37">
        <v>45316</v>
      </c>
      <c r="F9" s="36" t="s">
        <v>675</v>
      </c>
    </row>
    <row r="10" spans="1:6" x14ac:dyDescent="0.3">
      <c r="A10" s="36">
        <v>1009</v>
      </c>
      <c r="B10" s="36">
        <v>107</v>
      </c>
      <c r="C10" s="36" t="s">
        <v>209</v>
      </c>
      <c r="D10" s="39">
        <v>3000</v>
      </c>
      <c r="E10" s="37">
        <v>45323</v>
      </c>
      <c r="F10" s="36" t="s">
        <v>669</v>
      </c>
    </row>
    <row r="11" spans="1:6" x14ac:dyDescent="0.3">
      <c r="A11" s="36">
        <v>1010</v>
      </c>
      <c r="B11" s="36">
        <v>108</v>
      </c>
      <c r="C11" s="36" t="s">
        <v>213</v>
      </c>
      <c r="D11" s="39">
        <v>1500</v>
      </c>
      <c r="E11" s="37">
        <v>45327</v>
      </c>
      <c r="F11" s="36" t="s">
        <v>676</v>
      </c>
    </row>
    <row r="12" spans="1:6" x14ac:dyDescent="0.3">
      <c r="A12" s="36">
        <v>1011</v>
      </c>
      <c r="B12" s="36">
        <v>109</v>
      </c>
      <c r="C12" s="36" t="s">
        <v>209</v>
      </c>
      <c r="D12" s="39">
        <v>4500</v>
      </c>
      <c r="E12" s="37">
        <v>45332</v>
      </c>
      <c r="F12" s="36" t="s">
        <v>669</v>
      </c>
    </row>
    <row r="13" spans="1:6" x14ac:dyDescent="0.3">
      <c r="A13" s="36">
        <v>1012</v>
      </c>
      <c r="B13" s="36">
        <v>110</v>
      </c>
      <c r="C13" s="36" t="s">
        <v>211</v>
      </c>
      <c r="D13" s="39">
        <v>100</v>
      </c>
      <c r="E13" s="37">
        <v>45334</v>
      </c>
      <c r="F13" s="36" t="s">
        <v>675</v>
      </c>
    </row>
    <row r="14" spans="1:6" x14ac:dyDescent="0.3">
      <c r="A14" s="36">
        <v>1013</v>
      </c>
      <c r="B14" s="36">
        <v>111</v>
      </c>
      <c r="C14" s="36" t="s">
        <v>209</v>
      </c>
      <c r="D14" s="39">
        <v>20000</v>
      </c>
      <c r="E14" s="37">
        <v>45337</v>
      </c>
      <c r="F14" s="36" t="s">
        <v>677</v>
      </c>
    </row>
    <row r="15" spans="1:6" x14ac:dyDescent="0.3">
      <c r="A15" s="36">
        <v>1014</v>
      </c>
      <c r="B15" s="36">
        <v>111</v>
      </c>
      <c r="C15" s="36" t="s">
        <v>211</v>
      </c>
      <c r="D15" s="39">
        <v>3000</v>
      </c>
      <c r="E15" s="37">
        <v>45342</v>
      </c>
      <c r="F15" s="36" t="s">
        <v>678</v>
      </c>
    </row>
    <row r="16" spans="1:6" x14ac:dyDescent="0.3">
      <c r="A16" s="36">
        <v>1015</v>
      </c>
      <c r="B16" s="36">
        <v>112</v>
      </c>
      <c r="C16" s="36" t="s">
        <v>209</v>
      </c>
      <c r="D16" s="39">
        <v>1000</v>
      </c>
      <c r="E16" s="37">
        <v>45344</v>
      </c>
      <c r="F16" s="36" t="s">
        <v>679</v>
      </c>
    </row>
    <row r="17" spans="1:6" x14ac:dyDescent="0.3">
      <c r="A17" s="36">
        <v>1016</v>
      </c>
      <c r="B17" s="36">
        <v>114</v>
      </c>
      <c r="C17" s="36" t="s">
        <v>209</v>
      </c>
      <c r="D17" s="39">
        <v>8000</v>
      </c>
      <c r="E17" s="37">
        <v>45352</v>
      </c>
      <c r="F17" s="36" t="s">
        <v>669</v>
      </c>
    </row>
    <row r="18" spans="1:6" x14ac:dyDescent="0.3">
      <c r="A18" s="36">
        <v>1017</v>
      </c>
      <c r="B18" s="36">
        <v>114</v>
      </c>
      <c r="C18" s="36" t="s">
        <v>211</v>
      </c>
      <c r="D18" s="39">
        <v>1500</v>
      </c>
      <c r="E18" s="37">
        <v>45356</v>
      </c>
      <c r="F18" s="36" t="s">
        <v>680</v>
      </c>
    </row>
    <row r="19" spans="1:6" x14ac:dyDescent="0.3">
      <c r="A19" s="36">
        <v>1018</v>
      </c>
      <c r="B19" s="36">
        <v>115</v>
      </c>
      <c r="C19" s="36" t="s">
        <v>209</v>
      </c>
      <c r="D19" s="39">
        <v>2000</v>
      </c>
      <c r="E19" s="37">
        <v>45359</v>
      </c>
      <c r="F19" s="36" t="s">
        <v>679</v>
      </c>
    </row>
    <row r="20" spans="1:6" x14ac:dyDescent="0.3">
      <c r="A20" s="36">
        <v>1019</v>
      </c>
      <c r="B20" s="36">
        <v>116</v>
      </c>
      <c r="C20" s="36" t="s">
        <v>211</v>
      </c>
      <c r="D20" s="39">
        <v>800</v>
      </c>
      <c r="E20" s="37">
        <v>45361</v>
      </c>
      <c r="F20" s="36" t="s">
        <v>672</v>
      </c>
    </row>
    <row r="21" spans="1:6" x14ac:dyDescent="0.3">
      <c r="A21" s="36">
        <v>1020</v>
      </c>
      <c r="B21" s="36">
        <v>117</v>
      </c>
      <c r="C21" s="36" t="s">
        <v>209</v>
      </c>
      <c r="D21" s="39">
        <v>5000</v>
      </c>
      <c r="E21" s="37">
        <v>45363</v>
      </c>
      <c r="F21" s="36" t="s">
        <v>669</v>
      </c>
    </row>
    <row r="22" spans="1:6" x14ac:dyDescent="0.3">
      <c r="A22" s="36">
        <v>1021</v>
      </c>
      <c r="B22" s="36">
        <v>118</v>
      </c>
      <c r="C22" s="36" t="s">
        <v>209</v>
      </c>
      <c r="D22" s="39">
        <v>15000</v>
      </c>
      <c r="E22" s="37">
        <v>45366</v>
      </c>
      <c r="F22" s="36" t="s">
        <v>674</v>
      </c>
    </row>
    <row r="23" spans="1:6" x14ac:dyDescent="0.3">
      <c r="A23" s="36">
        <v>1022</v>
      </c>
      <c r="B23" s="36">
        <v>119</v>
      </c>
      <c r="C23" s="36" t="s">
        <v>211</v>
      </c>
      <c r="D23" s="39">
        <v>300</v>
      </c>
      <c r="E23" s="37">
        <v>45369</v>
      </c>
      <c r="F23" s="36" t="s">
        <v>675</v>
      </c>
    </row>
    <row r="24" spans="1:6" x14ac:dyDescent="0.3">
      <c r="A24" s="36">
        <v>1023</v>
      </c>
      <c r="B24" s="36">
        <v>120</v>
      </c>
      <c r="C24" s="36" t="s">
        <v>209</v>
      </c>
      <c r="D24" s="39">
        <v>30000</v>
      </c>
      <c r="E24" s="37">
        <v>45371</v>
      </c>
      <c r="F24" s="36" t="s">
        <v>677</v>
      </c>
    </row>
    <row r="25" spans="1:6" x14ac:dyDescent="0.3">
      <c r="A25" s="36">
        <v>1024</v>
      </c>
      <c r="B25" s="36">
        <v>120</v>
      </c>
      <c r="C25" s="36" t="s">
        <v>211</v>
      </c>
      <c r="D25" s="39">
        <v>5000</v>
      </c>
      <c r="E25" s="37">
        <v>45373</v>
      </c>
      <c r="F25" s="36" t="s">
        <v>678</v>
      </c>
    </row>
    <row r="26" spans="1:6" x14ac:dyDescent="0.3">
      <c r="A26" s="36">
        <v>1025</v>
      </c>
      <c r="B26" s="36">
        <v>121</v>
      </c>
      <c r="C26" s="36" t="s">
        <v>213</v>
      </c>
      <c r="D26" s="39">
        <v>2000</v>
      </c>
      <c r="E26" s="37">
        <v>45376</v>
      </c>
      <c r="F26" s="36" t="s">
        <v>676</v>
      </c>
    </row>
    <row r="27" spans="1:6" x14ac:dyDescent="0.3">
      <c r="A27" s="36">
        <v>1026</v>
      </c>
      <c r="B27" s="36">
        <v>122</v>
      </c>
      <c r="C27" s="36" t="s">
        <v>209</v>
      </c>
      <c r="D27" s="39">
        <v>3500</v>
      </c>
      <c r="E27" s="37">
        <v>45379</v>
      </c>
      <c r="F27" s="36" t="s">
        <v>669</v>
      </c>
    </row>
    <row r="28" spans="1:6" x14ac:dyDescent="0.3">
      <c r="A28" s="36">
        <v>1027</v>
      </c>
      <c r="B28" s="36">
        <v>123</v>
      </c>
      <c r="C28" s="36" t="s">
        <v>211</v>
      </c>
      <c r="D28" s="39">
        <v>600</v>
      </c>
      <c r="E28" s="37">
        <v>45383</v>
      </c>
      <c r="F28" s="36" t="s">
        <v>673</v>
      </c>
    </row>
    <row r="29" spans="1:6" x14ac:dyDescent="0.3">
      <c r="A29" s="36">
        <v>1028</v>
      </c>
      <c r="B29" s="36">
        <v>124</v>
      </c>
      <c r="C29" s="36" t="s">
        <v>209</v>
      </c>
      <c r="D29" s="39">
        <v>10000</v>
      </c>
      <c r="E29" s="37">
        <v>45385</v>
      </c>
      <c r="F29" s="36" t="s">
        <v>669</v>
      </c>
    </row>
    <row r="30" spans="1:6" x14ac:dyDescent="0.3">
      <c r="A30" s="36">
        <v>1029</v>
      </c>
      <c r="B30" s="36">
        <v>125</v>
      </c>
      <c r="C30" s="36" t="s">
        <v>211</v>
      </c>
      <c r="D30" s="39">
        <v>1200</v>
      </c>
      <c r="E30" s="37">
        <v>45387</v>
      </c>
      <c r="F30" s="36" t="s">
        <v>670</v>
      </c>
    </row>
    <row r="31" spans="1:6" x14ac:dyDescent="0.3">
      <c r="A31" s="36">
        <v>1030</v>
      </c>
      <c r="B31" s="36">
        <v>126</v>
      </c>
      <c r="C31" s="36" t="s">
        <v>209</v>
      </c>
      <c r="D31" s="39">
        <v>4000</v>
      </c>
      <c r="E31" s="37">
        <v>45390</v>
      </c>
      <c r="F31" s="36" t="s">
        <v>669</v>
      </c>
    </row>
    <row r="32" spans="1:6" x14ac:dyDescent="0.3">
      <c r="A32" s="36">
        <v>1031</v>
      </c>
      <c r="B32" s="36">
        <v>127</v>
      </c>
      <c r="C32" s="36" t="s">
        <v>213</v>
      </c>
      <c r="D32" s="39">
        <v>1500</v>
      </c>
      <c r="E32" s="37">
        <v>45392</v>
      </c>
      <c r="F32" s="36" t="s">
        <v>681</v>
      </c>
    </row>
    <row r="33" spans="1:6" x14ac:dyDescent="0.3">
      <c r="A33" s="36">
        <v>1032</v>
      </c>
      <c r="B33" s="36">
        <v>128</v>
      </c>
      <c r="C33" s="36" t="s">
        <v>211</v>
      </c>
      <c r="D33" s="39">
        <v>400</v>
      </c>
      <c r="E33" s="37">
        <v>45394</v>
      </c>
      <c r="F33" s="36" t="s">
        <v>675</v>
      </c>
    </row>
    <row r="34" spans="1:6" x14ac:dyDescent="0.3">
      <c r="A34" s="36">
        <v>1033</v>
      </c>
      <c r="B34" s="36">
        <v>129</v>
      </c>
      <c r="C34" s="36" t="s">
        <v>209</v>
      </c>
      <c r="D34" s="39">
        <v>50000</v>
      </c>
      <c r="E34" s="37">
        <v>45397</v>
      </c>
      <c r="F34" s="36" t="s">
        <v>677</v>
      </c>
    </row>
    <row r="35" spans="1:6" x14ac:dyDescent="0.3">
      <c r="A35" s="36">
        <v>1034</v>
      </c>
      <c r="B35" s="36">
        <v>129</v>
      </c>
      <c r="C35" s="36" t="s">
        <v>211</v>
      </c>
      <c r="D35" s="39">
        <v>8000</v>
      </c>
      <c r="E35" s="37">
        <v>45400</v>
      </c>
      <c r="F35" s="36" t="s">
        <v>682</v>
      </c>
    </row>
    <row r="36" spans="1:6" x14ac:dyDescent="0.3">
      <c r="A36" s="36">
        <v>1035</v>
      </c>
      <c r="B36" s="36">
        <v>130</v>
      </c>
      <c r="C36" s="36" t="s">
        <v>213</v>
      </c>
      <c r="D36" s="39">
        <v>5000</v>
      </c>
      <c r="E36" s="37">
        <v>45402</v>
      </c>
      <c r="F36" s="36" t="s">
        <v>676</v>
      </c>
    </row>
    <row r="37" spans="1:6" x14ac:dyDescent="0.3">
      <c r="A37" s="36">
        <v>1036</v>
      </c>
      <c r="B37" s="36">
        <v>131</v>
      </c>
      <c r="C37" s="36" t="s">
        <v>209</v>
      </c>
      <c r="D37" s="39">
        <v>6000</v>
      </c>
      <c r="E37" s="37">
        <v>45404</v>
      </c>
      <c r="F37" s="36" t="s">
        <v>669</v>
      </c>
    </row>
    <row r="38" spans="1:6" x14ac:dyDescent="0.3">
      <c r="A38" s="36">
        <v>1037</v>
      </c>
      <c r="B38" s="36">
        <v>132</v>
      </c>
      <c r="C38" s="36" t="s">
        <v>211</v>
      </c>
      <c r="D38" s="39">
        <v>700</v>
      </c>
      <c r="E38" s="37">
        <v>45407</v>
      </c>
      <c r="F38" s="36" t="s">
        <v>672</v>
      </c>
    </row>
    <row r="39" spans="1:6" x14ac:dyDescent="0.3">
      <c r="A39" s="36">
        <v>1038</v>
      </c>
      <c r="B39" s="36">
        <v>133</v>
      </c>
      <c r="C39" s="36" t="s">
        <v>209</v>
      </c>
      <c r="D39" s="39">
        <v>9000</v>
      </c>
      <c r="E39" s="37">
        <v>45410</v>
      </c>
      <c r="F39" s="36" t="s">
        <v>679</v>
      </c>
    </row>
    <row r="40" spans="1:6" x14ac:dyDescent="0.3">
      <c r="A40" s="36">
        <v>1039</v>
      </c>
      <c r="B40" s="36">
        <v>134</v>
      </c>
      <c r="C40" s="36" t="s">
        <v>211</v>
      </c>
      <c r="D40" s="39">
        <v>500</v>
      </c>
      <c r="E40" s="37">
        <v>45413</v>
      </c>
      <c r="F40" s="36" t="s">
        <v>673</v>
      </c>
    </row>
    <row r="41" spans="1:6" x14ac:dyDescent="0.3">
      <c r="A41" s="36">
        <v>1040</v>
      </c>
      <c r="B41" s="36">
        <v>135</v>
      </c>
      <c r="C41" s="36" t="s">
        <v>209</v>
      </c>
      <c r="D41" s="39">
        <v>7000</v>
      </c>
      <c r="E41" s="37">
        <v>45415</v>
      </c>
      <c r="F41" s="36" t="s">
        <v>669</v>
      </c>
    </row>
    <row r="42" spans="1:6" x14ac:dyDescent="0.3">
      <c r="A42" s="36">
        <v>1041</v>
      </c>
      <c r="B42" s="36">
        <v>136</v>
      </c>
      <c r="C42" s="36" t="s">
        <v>213</v>
      </c>
      <c r="D42" s="39">
        <v>3000</v>
      </c>
      <c r="E42" s="37">
        <v>45417</v>
      </c>
      <c r="F42" s="36" t="s">
        <v>681</v>
      </c>
    </row>
    <row r="43" spans="1:6" x14ac:dyDescent="0.3">
      <c r="A43" s="36">
        <v>1042</v>
      </c>
      <c r="B43" s="36">
        <v>137</v>
      </c>
      <c r="C43" s="36" t="s">
        <v>211</v>
      </c>
      <c r="D43" s="39">
        <v>200</v>
      </c>
      <c r="E43" s="37">
        <v>45420</v>
      </c>
      <c r="F43" s="36" t="s">
        <v>675</v>
      </c>
    </row>
    <row r="44" spans="1:6" x14ac:dyDescent="0.3">
      <c r="A44" s="36">
        <v>1043</v>
      </c>
      <c r="B44" s="36">
        <v>138</v>
      </c>
      <c r="C44" s="36" t="s">
        <v>209</v>
      </c>
      <c r="D44" s="39">
        <v>20000</v>
      </c>
      <c r="E44" s="37">
        <v>45422</v>
      </c>
      <c r="F44" s="36" t="s">
        <v>674</v>
      </c>
    </row>
    <row r="45" spans="1:6" x14ac:dyDescent="0.3">
      <c r="A45" s="36">
        <v>1044</v>
      </c>
      <c r="B45" s="36">
        <v>138</v>
      </c>
      <c r="C45" s="36" t="s">
        <v>211</v>
      </c>
      <c r="D45" s="39">
        <v>4000</v>
      </c>
      <c r="E45" s="37">
        <v>45424</v>
      </c>
      <c r="F45" s="36" t="s">
        <v>683</v>
      </c>
    </row>
    <row r="46" spans="1:6" x14ac:dyDescent="0.3">
      <c r="A46" s="36">
        <v>1045</v>
      </c>
      <c r="B46" s="36">
        <v>139</v>
      </c>
      <c r="C46" s="36" t="s">
        <v>209</v>
      </c>
      <c r="D46" s="39">
        <v>8500</v>
      </c>
      <c r="E46" s="37">
        <v>45427</v>
      </c>
      <c r="F46" s="36" t="s">
        <v>669</v>
      </c>
    </row>
    <row r="47" spans="1:6" x14ac:dyDescent="0.3">
      <c r="A47" s="36">
        <v>1046</v>
      </c>
      <c r="B47" s="36">
        <v>140</v>
      </c>
      <c r="C47" s="36" t="s">
        <v>211</v>
      </c>
      <c r="D47" s="39">
        <v>1000</v>
      </c>
      <c r="E47" s="37">
        <v>45430</v>
      </c>
      <c r="F47" s="36" t="s">
        <v>680</v>
      </c>
    </row>
    <row r="48" spans="1:6" x14ac:dyDescent="0.3">
      <c r="A48" s="36">
        <v>1047</v>
      </c>
      <c r="B48" s="36">
        <v>141</v>
      </c>
      <c r="C48" s="36" t="s">
        <v>209</v>
      </c>
      <c r="D48" s="39">
        <v>5500</v>
      </c>
      <c r="E48" s="37">
        <v>45432</v>
      </c>
      <c r="F48" s="36" t="s">
        <v>669</v>
      </c>
    </row>
    <row r="49" spans="1:6" x14ac:dyDescent="0.3">
      <c r="A49" s="36">
        <v>1048</v>
      </c>
      <c r="B49" s="36">
        <v>142</v>
      </c>
      <c r="C49" s="36" t="s">
        <v>213</v>
      </c>
      <c r="D49" s="39">
        <v>2500</v>
      </c>
      <c r="E49" s="37">
        <v>45434</v>
      </c>
      <c r="F49" s="36" t="s">
        <v>681</v>
      </c>
    </row>
    <row r="50" spans="1:6" x14ac:dyDescent="0.3">
      <c r="A50" s="36">
        <v>1049</v>
      </c>
      <c r="B50" s="36">
        <v>143</v>
      </c>
      <c r="C50" s="36" t="s">
        <v>211</v>
      </c>
      <c r="D50" s="39">
        <v>300</v>
      </c>
      <c r="E50" s="37">
        <v>45437</v>
      </c>
      <c r="F50" s="36" t="s">
        <v>675</v>
      </c>
    </row>
    <row r="51" spans="1:6" x14ac:dyDescent="0.3">
      <c r="A51" s="36">
        <v>1050</v>
      </c>
      <c r="B51" s="36">
        <v>144</v>
      </c>
      <c r="C51" s="36" t="s">
        <v>209</v>
      </c>
      <c r="D51" s="39">
        <v>7500</v>
      </c>
      <c r="E51" s="37">
        <v>45440</v>
      </c>
      <c r="F51" s="36" t="s">
        <v>669</v>
      </c>
    </row>
    <row r="52" spans="1:6" x14ac:dyDescent="0.3">
      <c r="A52" s="36">
        <v>1051</v>
      </c>
      <c r="B52" s="36">
        <v>145</v>
      </c>
      <c r="C52" s="36" t="s">
        <v>211</v>
      </c>
      <c r="D52" s="39">
        <v>2000</v>
      </c>
      <c r="E52" s="37">
        <v>45444</v>
      </c>
      <c r="F52" s="36" t="s">
        <v>670</v>
      </c>
    </row>
    <row r="53" spans="1:6" x14ac:dyDescent="0.3">
      <c r="A53" s="36">
        <v>1052</v>
      </c>
      <c r="B53" s="36">
        <v>146</v>
      </c>
      <c r="C53" s="36" t="s">
        <v>209</v>
      </c>
      <c r="D53" s="39">
        <v>6500</v>
      </c>
      <c r="E53" s="37">
        <v>45446</v>
      </c>
      <c r="F53" s="36" t="s">
        <v>669</v>
      </c>
    </row>
    <row r="54" spans="1:6" x14ac:dyDescent="0.3">
      <c r="A54" s="36">
        <v>1053</v>
      </c>
      <c r="B54" s="36">
        <v>147</v>
      </c>
      <c r="C54" s="36" t="s">
        <v>211</v>
      </c>
      <c r="D54" s="39">
        <v>450</v>
      </c>
      <c r="E54" s="37">
        <v>45448</v>
      </c>
      <c r="F54" s="36" t="s">
        <v>672</v>
      </c>
    </row>
    <row r="55" spans="1:6" x14ac:dyDescent="0.3">
      <c r="A55" s="36">
        <v>1054</v>
      </c>
      <c r="B55" s="36">
        <v>148</v>
      </c>
      <c r="C55" s="36" t="s">
        <v>209</v>
      </c>
      <c r="D55" s="39">
        <v>25000</v>
      </c>
      <c r="E55" s="37">
        <v>45451</v>
      </c>
      <c r="F55" s="36" t="s">
        <v>677</v>
      </c>
    </row>
    <row r="56" spans="1:6" x14ac:dyDescent="0.3">
      <c r="A56" s="36">
        <v>1055</v>
      </c>
      <c r="B56" s="36">
        <v>148</v>
      </c>
      <c r="C56" s="36" t="s">
        <v>211</v>
      </c>
      <c r="D56" s="39">
        <v>5000</v>
      </c>
      <c r="E56" s="37">
        <v>45453</v>
      </c>
      <c r="F56" s="36" t="s">
        <v>678</v>
      </c>
    </row>
    <row r="57" spans="1:6" x14ac:dyDescent="0.3">
      <c r="A57" s="36">
        <v>1056</v>
      </c>
      <c r="B57" s="36">
        <v>149</v>
      </c>
      <c r="C57" s="36" t="s">
        <v>209</v>
      </c>
      <c r="D57" s="39">
        <v>3000</v>
      </c>
      <c r="E57" s="37">
        <v>45455</v>
      </c>
      <c r="F57" s="36" t="s">
        <v>669</v>
      </c>
    </row>
    <row r="58" spans="1:6" x14ac:dyDescent="0.3">
      <c r="A58" s="36">
        <v>1057</v>
      </c>
      <c r="B58" s="36">
        <v>150</v>
      </c>
      <c r="C58" s="36" t="s">
        <v>213</v>
      </c>
      <c r="D58" s="39">
        <v>4000</v>
      </c>
      <c r="E58" s="37">
        <v>45458</v>
      </c>
      <c r="F58" s="36" t="s">
        <v>681</v>
      </c>
    </row>
    <row r="59" spans="1:6" x14ac:dyDescent="0.3">
      <c r="A59" s="36">
        <v>1058</v>
      </c>
      <c r="B59" s="36">
        <v>151</v>
      </c>
      <c r="C59" s="36" t="s">
        <v>211</v>
      </c>
      <c r="D59" s="39">
        <v>600</v>
      </c>
      <c r="E59" s="37">
        <v>45461</v>
      </c>
      <c r="F59" s="36" t="s">
        <v>673</v>
      </c>
    </row>
    <row r="60" spans="1:6" x14ac:dyDescent="0.3">
      <c r="A60" s="36">
        <v>1059</v>
      </c>
      <c r="B60" s="36">
        <v>152</v>
      </c>
      <c r="C60" s="36" t="s">
        <v>209</v>
      </c>
      <c r="D60" s="39">
        <v>18000</v>
      </c>
      <c r="E60" s="37">
        <v>45463</v>
      </c>
      <c r="F60" s="36" t="s">
        <v>669</v>
      </c>
    </row>
    <row r="61" spans="1:6" x14ac:dyDescent="0.3">
      <c r="A61" s="36">
        <v>1060</v>
      </c>
      <c r="B61" s="36">
        <v>153</v>
      </c>
      <c r="C61" s="36" t="s">
        <v>211</v>
      </c>
      <c r="D61" s="39">
        <v>800</v>
      </c>
      <c r="E61" s="37">
        <v>45465</v>
      </c>
      <c r="F61" s="36" t="s">
        <v>675</v>
      </c>
    </row>
    <row r="62" spans="1:6" x14ac:dyDescent="0.3">
      <c r="A62" s="36">
        <v>1061</v>
      </c>
      <c r="B62" s="36">
        <v>154</v>
      </c>
      <c r="C62" s="36" t="s">
        <v>209</v>
      </c>
      <c r="D62" s="39">
        <v>9500</v>
      </c>
      <c r="E62" s="37">
        <v>45468</v>
      </c>
      <c r="F62" s="36" t="s">
        <v>674</v>
      </c>
    </row>
    <row r="63" spans="1:6" x14ac:dyDescent="0.3">
      <c r="A63" s="36">
        <v>1062</v>
      </c>
      <c r="B63" s="36">
        <v>155</v>
      </c>
      <c r="C63" s="36" t="s">
        <v>211</v>
      </c>
      <c r="D63" s="39">
        <v>350</v>
      </c>
      <c r="E63" s="37">
        <v>45471</v>
      </c>
      <c r="F63" s="36" t="s">
        <v>672</v>
      </c>
    </row>
    <row r="64" spans="1:6" x14ac:dyDescent="0.3">
      <c r="A64" s="36">
        <v>1063</v>
      </c>
      <c r="B64" s="36">
        <v>156</v>
      </c>
      <c r="C64" s="36" t="s">
        <v>209</v>
      </c>
      <c r="D64" s="39">
        <v>5000</v>
      </c>
      <c r="E64" s="37">
        <v>45474</v>
      </c>
      <c r="F64" s="36" t="s">
        <v>669</v>
      </c>
    </row>
    <row r="65" spans="1:6" x14ac:dyDescent="0.3">
      <c r="A65" s="36">
        <v>1064</v>
      </c>
      <c r="B65" s="36">
        <v>157</v>
      </c>
      <c r="C65" s="36" t="s">
        <v>213</v>
      </c>
      <c r="D65" s="39">
        <v>1000</v>
      </c>
      <c r="E65" s="37">
        <v>45476</v>
      </c>
      <c r="F65" s="36" t="s">
        <v>676</v>
      </c>
    </row>
    <row r="66" spans="1:6" x14ac:dyDescent="0.3">
      <c r="A66" s="36">
        <v>1065</v>
      </c>
      <c r="B66" s="36">
        <v>158</v>
      </c>
      <c r="C66" s="36" t="s">
        <v>209</v>
      </c>
      <c r="D66" s="39">
        <v>7000</v>
      </c>
      <c r="E66" s="37">
        <v>45478</v>
      </c>
      <c r="F66" s="36" t="s">
        <v>669</v>
      </c>
    </row>
    <row r="67" spans="1:6" x14ac:dyDescent="0.3">
      <c r="A67" s="36">
        <v>1066</v>
      </c>
      <c r="B67" s="36">
        <v>169</v>
      </c>
      <c r="C67" s="36" t="s">
        <v>209</v>
      </c>
      <c r="D67" s="39">
        <v>6000</v>
      </c>
      <c r="E67" s="37">
        <v>45481</v>
      </c>
      <c r="F67" s="36" t="s">
        <v>669</v>
      </c>
    </row>
    <row r="68" spans="1:6" x14ac:dyDescent="0.3">
      <c r="A68" s="36">
        <v>1067</v>
      </c>
      <c r="B68" s="36">
        <v>169</v>
      </c>
      <c r="C68" s="36" t="s">
        <v>211</v>
      </c>
      <c r="D68" s="39">
        <v>1000</v>
      </c>
      <c r="E68" s="37">
        <v>45485</v>
      </c>
      <c r="F68" s="36" t="s">
        <v>670</v>
      </c>
    </row>
    <row r="69" spans="1:6" x14ac:dyDescent="0.3">
      <c r="A69" s="36">
        <v>1068</v>
      </c>
      <c r="B69" s="36">
        <v>170</v>
      </c>
      <c r="C69" s="36" t="s">
        <v>209</v>
      </c>
      <c r="D69" s="39">
        <v>2500</v>
      </c>
      <c r="E69" s="37">
        <v>45488</v>
      </c>
      <c r="F69" s="36" t="s">
        <v>679</v>
      </c>
    </row>
    <row r="70" spans="1:6" x14ac:dyDescent="0.3">
      <c r="A70" s="36">
        <v>1069</v>
      </c>
      <c r="B70" s="36">
        <v>171</v>
      </c>
      <c r="C70" s="36" t="s">
        <v>211</v>
      </c>
      <c r="D70" s="39">
        <v>700</v>
      </c>
      <c r="E70" s="37">
        <v>45491</v>
      </c>
      <c r="F70" s="36" t="s">
        <v>672</v>
      </c>
    </row>
    <row r="71" spans="1:6" x14ac:dyDescent="0.3">
      <c r="A71" s="36">
        <v>1070</v>
      </c>
      <c r="B71" s="36">
        <v>172</v>
      </c>
      <c r="C71" s="36" t="s">
        <v>209</v>
      </c>
      <c r="D71" s="39">
        <v>4500</v>
      </c>
      <c r="E71" s="37">
        <v>45493</v>
      </c>
      <c r="F71" s="36" t="s">
        <v>669</v>
      </c>
    </row>
    <row r="72" spans="1:6" x14ac:dyDescent="0.3">
      <c r="A72" s="36">
        <v>1071</v>
      </c>
      <c r="B72" s="36">
        <v>173</v>
      </c>
      <c r="C72" s="36" t="s">
        <v>209</v>
      </c>
      <c r="D72" s="39">
        <v>25000</v>
      </c>
      <c r="E72" s="37">
        <v>45495</v>
      </c>
      <c r="F72" s="36" t="s">
        <v>674</v>
      </c>
    </row>
    <row r="73" spans="1:6" x14ac:dyDescent="0.3">
      <c r="A73" s="36">
        <v>1072</v>
      </c>
      <c r="B73" s="36">
        <v>174</v>
      </c>
      <c r="C73" s="36" t="s">
        <v>211</v>
      </c>
      <c r="D73" s="39">
        <v>400</v>
      </c>
      <c r="E73" s="37">
        <v>45498</v>
      </c>
      <c r="F73" s="36" t="s">
        <v>675</v>
      </c>
    </row>
    <row r="74" spans="1:6" x14ac:dyDescent="0.3">
      <c r="A74" s="36">
        <v>1073</v>
      </c>
      <c r="B74" s="36">
        <v>175</v>
      </c>
      <c r="C74" s="36" t="s">
        <v>209</v>
      </c>
      <c r="D74" s="39">
        <v>3200</v>
      </c>
      <c r="E74" s="37">
        <v>45501</v>
      </c>
      <c r="F74" s="36" t="s">
        <v>669</v>
      </c>
    </row>
    <row r="75" spans="1:6" x14ac:dyDescent="0.3">
      <c r="A75" s="36">
        <v>1074</v>
      </c>
      <c r="B75" s="36">
        <v>176</v>
      </c>
      <c r="C75" s="36" t="s">
        <v>213</v>
      </c>
      <c r="D75" s="39">
        <v>2000</v>
      </c>
      <c r="E75" s="37">
        <v>45503</v>
      </c>
      <c r="F75" s="36" t="s">
        <v>681</v>
      </c>
    </row>
    <row r="76" spans="1:6" x14ac:dyDescent="0.3">
      <c r="A76" s="36">
        <v>1075</v>
      </c>
      <c r="B76" s="36">
        <v>177</v>
      </c>
      <c r="C76" s="36" t="s">
        <v>209</v>
      </c>
      <c r="D76" s="39">
        <v>12000</v>
      </c>
      <c r="E76" s="37">
        <v>45505</v>
      </c>
      <c r="F76" s="36" t="s">
        <v>677</v>
      </c>
    </row>
    <row r="77" spans="1:6" x14ac:dyDescent="0.3">
      <c r="A77" s="36">
        <v>1076</v>
      </c>
      <c r="B77" s="36">
        <v>178</v>
      </c>
      <c r="C77" s="36" t="s">
        <v>211</v>
      </c>
      <c r="D77" s="39">
        <v>500</v>
      </c>
      <c r="E77" s="37">
        <v>45507</v>
      </c>
      <c r="F77" s="36" t="s">
        <v>673</v>
      </c>
    </row>
    <row r="78" spans="1:6" x14ac:dyDescent="0.3">
      <c r="A78" s="36">
        <v>1077</v>
      </c>
      <c r="B78" s="36">
        <v>179</v>
      </c>
      <c r="C78" s="36" t="s">
        <v>209</v>
      </c>
      <c r="D78" s="39">
        <v>5500</v>
      </c>
      <c r="E78" s="37">
        <v>45509</v>
      </c>
      <c r="F78" s="36" t="s">
        <v>669</v>
      </c>
    </row>
    <row r="79" spans="1:6" x14ac:dyDescent="0.3">
      <c r="A79" s="36">
        <v>1078</v>
      </c>
      <c r="B79" s="36">
        <v>180</v>
      </c>
      <c r="C79" s="36" t="s">
        <v>213</v>
      </c>
      <c r="D79" s="39">
        <v>1500</v>
      </c>
      <c r="E79" s="37">
        <v>45512</v>
      </c>
      <c r="F79" s="36" t="s">
        <v>676</v>
      </c>
    </row>
    <row r="80" spans="1:6" x14ac:dyDescent="0.3">
      <c r="A80" s="36">
        <v>1079</v>
      </c>
      <c r="B80" s="36">
        <v>181</v>
      </c>
      <c r="C80" s="36" t="s">
        <v>209</v>
      </c>
      <c r="D80" s="39">
        <v>8000</v>
      </c>
      <c r="E80" s="37">
        <v>45514</v>
      </c>
      <c r="F80" s="36" t="s">
        <v>674</v>
      </c>
    </row>
    <row r="81" spans="1:6" x14ac:dyDescent="0.3">
      <c r="A81" s="36">
        <v>1080</v>
      </c>
      <c r="B81" s="36">
        <v>182</v>
      </c>
      <c r="C81" s="36" t="s">
        <v>211</v>
      </c>
      <c r="D81" s="39">
        <v>300</v>
      </c>
      <c r="E81" s="37">
        <v>45516</v>
      </c>
      <c r="F81" s="36" t="s">
        <v>675</v>
      </c>
    </row>
  </sheetData>
  <dataValidations count="1">
    <dataValidation type="list" allowBlank="1" errorTitle="Invalid" error="Value not in allowed set" prompt="Allowed: DEPOSIT, WITHDRAWAL, TRANSFER" sqref="C2:C81" xr:uid="{00000000-0002-0000-0D00-000000000000}">
      <formula1>"DEPOSIT,WITHDRAWAL,TRANSFER"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13" customWidth="1"/>
    <col min="3" max="4" width="11" customWidth="1"/>
    <col min="5" max="5" width="15" customWidth="1"/>
    <col min="6" max="7" width="12" customWidth="1"/>
    <col min="8" max="9" width="11" customWidth="1"/>
    <col min="10" max="10" width="13" customWidth="1"/>
  </cols>
  <sheetData>
    <row r="1" spans="1:10" ht="24" customHeight="1" x14ac:dyDescent="0.3">
      <c r="A1" s="23" t="s">
        <v>299</v>
      </c>
      <c r="B1" s="23" t="s">
        <v>294</v>
      </c>
      <c r="C1" s="23" t="s">
        <v>684</v>
      </c>
      <c r="D1" s="23" t="s">
        <v>666</v>
      </c>
      <c r="E1" s="23" t="s">
        <v>685</v>
      </c>
      <c r="F1" s="23" t="s">
        <v>686</v>
      </c>
      <c r="G1" s="23" t="s">
        <v>687</v>
      </c>
      <c r="H1" s="23" t="s">
        <v>664</v>
      </c>
      <c r="I1" s="38" t="s">
        <v>292</v>
      </c>
      <c r="J1" s="38" t="s">
        <v>360</v>
      </c>
    </row>
    <row r="2" spans="1:10" x14ac:dyDescent="0.3">
      <c r="A2" s="36">
        <v>201</v>
      </c>
      <c r="B2" s="36">
        <v>1</v>
      </c>
      <c r="C2" s="36" t="s">
        <v>236</v>
      </c>
      <c r="D2" s="39">
        <v>200000</v>
      </c>
      <c r="E2" s="41">
        <v>3.5</v>
      </c>
      <c r="F2" s="37">
        <v>43862</v>
      </c>
      <c r="G2" s="37">
        <v>54820</v>
      </c>
      <c r="H2" s="36" t="s">
        <v>176</v>
      </c>
      <c r="I2" s="40">
        <f>INDEX(CUSTOMERS!$H$2:$H$61,MATCH($B2,CUSTOMERS!$A$2:$A$61,0))</f>
        <v>1</v>
      </c>
      <c r="J2" s="40" t="str">
        <f>INDEX(BRANCHES!$B$2:$B$61,MATCH($I2,BRANCHES!$A$2:$A$61,0))</f>
        <v>Main Branch</v>
      </c>
    </row>
    <row r="3" spans="1:10" x14ac:dyDescent="0.3">
      <c r="A3" s="36">
        <v>202</v>
      </c>
      <c r="B3" s="36">
        <v>2</v>
      </c>
      <c r="C3" s="36" t="s">
        <v>238</v>
      </c>
      <c r="D3" s="39">
        <v>15000</v>
      </c>
      <c r="E3" s="41">
        <v>5.2</v>
      </c>
      <c r="F3" s="37">
        <v>44362</v>
      </c>
      <c r="G3" s="37">
        <v>46188</v>
      </c>
      <c r="H3" s="36" t="s">
        <v>176</v>
      </c>
      <c r="I3" s="40">
        <f>INDEX(CUSTOMERS!$H$2:$H$61,MATCH($B3,CUSTOMERS!$A$2:$A$61,0))</f>
        <v>2</v>
      </c>
      <c r="J3" s="40" t="str">
        <f>INDEX(BRANCHES!$B$2:$B$61,MATCH($I3,BRANCHES!$A$2:$A$61,0))</f>
        <v>Downtown Branch</v>
      </c>
    </row>
    <row r="4" spans="1:10" x14ac:dyDescent="0.3">
      <c r="A4" s="36">
        <v>203</v>
      </c>
      <c r="B4" s="36">
        <v>3</v>
      </c>
      <c r="C4" s="36" t="s">
        <v>239</v>
      </c>
      <c r="D4" s="39">
        <v>5000</v>
      </c>
      <c r="E4" s="41">
        <v>7.8</v>
      </c>
      <c r="F4" s="37">
        <v>44571</v>
      </c>
      <c r="G4" s="37">
        <v>45667</v>
      </c>
      <c r="H4" s="36" t="s">
        <v>176</v>
      </c>
      <c r="I4" s="40">
        <f>INDEX(CUSTOMERS!$H$2:$H$61,MATCH($B4,CUSTOMERS!$A$2:$A$61,0))</f>
        <v>3</v>
      </c>
      <c r="J4" s="40" t="str">
        <f>INDEX(BRANCHES!$B$2:$B$61,MATCH($I4,BRANCHES!$A$2:$A$61,0))</f>
        <v>West Branch</v>
      </c>
    </row>
    <row r="5" spans="1:10" x14ac:dyDescent="0.3">
      <c r="A5" s="36">
        <v>204</v>
      </c>
      <c r="B5" s="36">
        <v>4</v>
      </c>
      <c r="C5" s="36" t="s">
        <v>237</v>
      </c>
      <c r="D5" s="39">
        <v>80000</v>
      </c>
      <c r="E5" s="41">
        <v>4.0999999999999996</v>
      </c>
      <c r="F5" s="37">
        <v>43544</v>
      </c>
      <c r="G5" s="37">
        <v>47197</v>
      </c>
      <c r="H5" s="36" t="s">
        <v>176</v>
      </c>
      <c r="I5" s="40">
        <f>INDEX(CUSTOMERS!$H$2:$H$61,MATCH($B5,CUSTOMERS!$A$2:$A$61,0))</f>
        <v>4</v>
      </c>
      <c r="J5" s="40" t="str">
        <f>INDEX(BRANCHES!$B$2:$B$61,MATCH($I5,BRANCHES!$A$2:$A$61,0))</f>
        <v>North Branch</v>
      </c>
    </row>
    <row r="6" spans="1:10" x14ac:dyDescent="0.3">
      <c r="A6" s="36">
        <v>205</v>
      </c>
      <c r="B6" s="36">
        <v>5</v>
      </c>
      <c r="C6" s="36" t="s">
        <v>238</v>
      </c>
      <c r="D6" s="39">
        <v>12000</v>
      </c>
      <c r="E6" s="41">
        <v>6</v>
      </c>
      <c r="F6" s="37">
        <v>44682</v>
      </c>
      <c r="G6" s="37">
        <v>46508</v>
      </c>
      <c r="H6" s="36" t="s">
        <v>176</v>
      </c>
      <c r="I6" s="40">
        <f>INDEX(CUSTOMERS!$H$2:$H$61,MATCH($B6,CUSTOMERS!$A$2:$A$61,0))</f>
        <v>5</v>
      </c>
      <c r="J6" s="40" t="str">
        <f>INDEX(BRANCHES!$B$2:$B$61,MATCH($I6,BRANCHES!$A$2:$A$61,0))</f>
        <v>East Branch</v>
      </c>
    </row>
    <row r="7" spans="1:10" x14ac:dyDescent="0.3">
      <c r="A7" s="36">
        <v>206</v>
      </c>
      <c r="B7" s="36">
        <v>6</v>
      </c>
      <c r="C7" s="36" t="s">
        <v>239</v>
      </c>
      <c r="D7" s="39">
        <v>3000</v>
      </c>
      <c r="E7" s="41">
        <v>8.5</v>
      </c>
      <c r="F7" s="37">
        <v>44530</v>
      </c>
      <c r="G7" s="37">
        <v>45626</v>
      </c>
      <c r="H7" s="36" t="s">
        <v>227</v>
      </c>
      <c r="I7" s="40">
        <f>INDEX(CUSTOMERS!$H$2:$H$61,MATCH($B7,CUSTOMERS!$A$2:$A$61,0))</f>
        <v>1</v>
      </c>
      <c r="J7" s="40" t="str">
        <f>INDEX(BRANCHES!$B$2:$B$61,MATCH($I7,BRANCHES!$A$2:$A$61,0))</f>
        <v>Main Branch</v>
      </c>
    </row>
    <row r="8" spans="1:10" x14ac:dyDescent="0.3">
      <c r="A8" s="36">
        <v>207</v>
      </c>
      <c r="B8" s="36">
        <v>8</v>
      </c>
      <c r="C8" s="36" t="s">
        <v>236</v>
      </c>
      <c r="D8" s="39">
        <v>150000</v>
      </c>
      <c r="E8" s="41">
        <v>3.75</v>
      </c>
      <c r="F8" s="37">
        <v>44027</v>
      </c>
      <c r="G8" s="37">
        <v>53158</v>
      </c>
      <c r="H8" s="36" t="s">
        <v>176</v>
      </c>
      <c r="I8" s="40">
        <f>INDEX(CUSTOMERS!$H$2:$H$61,MATCH($B8,CUSTOMERS!$A$2:$A$61,0))</f>
        <v>4</v>
      </c>
      <c r="J8" s="40" t="str">
        <f>INDEX(BRANCHES!$B$2:$B$61,MATCH($I8,BRANCHES!$A$2:$A$61,0))</f>
        <v>North Branch</v>
      </c>
    </row>
    <row r="9" spans="1:10" x14ac:dyDescent="0.3">
      <c r="A9" s="36">
        <v>208</v>
      </c>
      <c r="B9" s="36">
        <v>10</v>
      </c>
      <c r="C9" s="36" t="s">
        <v>237</v>
      </c>
      <c r="D9" s="39">
        <v>100000</v>
      </c>
      <c r="E9" s="41">
        <v>3.9</v>
      </c>
      <c r="F9" s="37">
        <v>43344</v>
      </c>
      <c r="G9" s="37">
        <v>46997</v>
      </c>
      <c r="H9" s="36" t="s">
        <v>176</v>
      </c>
      <c r="I9" s="40">
        <f>INDEX(CUSTOMERS!$H$2:$H$61,MATCH($B9,CUSTOMERS!$A$2:$A$61,0))</f>
        <v>2</v>
      </c>
      <c r="J9" s="40" t="str">
        <f>INDEX(BRANCHES!$B$2:$B$61,MATCH($I9,BRANCHES!$A$2:$A$61,0))</f>
        <v>Downtown Branch</v>
      </c>
    </row>
    <row r="10" spans="1:10" x14ac:dyDescent="0.3">
      <c r="A10" s="36">
        <v>209</v>
      </c>
      <c r="B10" s="36">
        <v>11</v>
      </c>
      <c r="C10" s="36" t="s">
        <v>236</v>
      </c>
      <c r="D10" s="39">
        <v>180000</v>
      </c>
      <c r="E10" s="41">
        <v>3.6</v>
      </c>
      <c r="F10" s="37">
        <v>44287</v>
      </c>
      <c r="G10" s="37">
        <v>55244</v>
      </c>
      <c r="H10" s="36" t="s">
        <v>176</v>
      </c>
      <c r="I10" s="40">
        <f>INDEX(CUSTOMERS!$H$2:$H$61,MATCH($B10,CUSTOMERS!$A$2:$A$61,0))</f>
        <v>6</v>
      </c>
      <c r="J10" s="40" t="str">
        <f>INDEX(BRANCHES!$B$2:$B$61,MATCH($I10,BRANCHES!$A$2:$A$61,0))</f>
        <v>South Branch</v>
      </c>
    </row>
    <row r="11" spans="1:10" x14ac:dyDescent="0.3">
      <c r="A11" s="36">
        <v>210</v>
      </c>
      <c r="B11" s="36">
        <v>12</v>
      </c>
      <c r="C11" s="36" t="s">
        <v>238</v>
      </c>
      <c r="D11" s="39">
        <v>20000</v>
      </c>
      <c r="E11" s="41">
        <v>5.5</v>
      </c>
      <c r="F11" s="37">
        <v>44440</v>
      </c>
      <c r="G11" s="37">
        <v>46266</v>
      </c>
      <c r="H11" s="36" t="s">
        <v>176</v>
      </c>
      <c r="I11" s="40">
        <f>INDEX(CUSTOMERS!$H$2:$H$61,MATCH($B11,CUSTOMERS!$A$2:$A$61,0))</f>
        <v>6</v>
      </c>
      <c r="J11" s="40" t="str">
        <f>INDEX(BRANCHES!$B$2:$B$61,MATCH($I11,BRANCHES!$A$2:$A$61,0))</f>
        <v>South Branch</v>
      </c>
    </row>
    <row r="12" spans="1:10" x14ac:dyDescent="0.3">
      <c r="A12" s="36">
        <v>211</v>
      </c>
      <c r="B12" s="36">
        <v>13</v>
      </c>
      <c r="C12" s="36" t="s">
        <v>237</v>
      </c>
      <c r="D12" s="39">
        <v>120000</v>
      </c>
      <c r="E12" s="41">
        <v>4.2</v>
      </c>
      <c r="F12" s="37">
        <v>43845</v>
      </c>
      <c r="G12" s="37">
        <v>47498</v>
      </c>
      <c r="H12" s="36" t="s">
        <v>176</v>
      </c>
      <c r="I12" s="40">
        <f>INDEX(CUSTOMERS!$H$2:$H$61,MATCH($B12,CUSTOMERS!$A$2:$A$61,0))</f>
        <v>7</v>
      </c>
      <c r="J12" s="40" t="str">
        <f>INDEX(BRANCHES!$B$2:$B$61,MATCH($I12,BRANCHES!$A$2:$A$61,0))</f>
        <v>Central Branch</v>
      </c>
    </row>
    <row r="13" spans="1:10" x14ac:dyDescent="0.3">
      <c r="A13" s="36">
        <v>212</v>
      </c>
      <c r="B13" s="36">
        <v>14</v>
      </c>
      <c r="C13" s="36" t="s">
        <v>239</v>
      </c>
      <c r="D13" s="39">
        <v>8000</v>
      </c>
      <c r="E13" s="41">
        <v>8</v>
      </c>
      <c r="F13" s="37">
        <v>44593</v>
      </c>
      <c r="G13" s="37">
        <v>45689</v>
      </c>
      <c r="H13" s="36" t="s">
        <v>176</v>
      </c>
      <c r="I13" s="40">
        <f>INDEX(CUSTOMERS!$H$2:$H$61,MATCH($B13,CUSTOMERS!$A$2:$A$61,0))</f>
        <v>7</v>
      </c>
      <c r="J13" s="40" t="str">
        <f>INDEX(BRANCHES!$B$2:$B$61,MATCH($I13,BRANCHES!$A$2:$A$61,0))</f>
        <v>Central Branch</v>
      </c>
    </row>
    <row r="14" spans="1:10" x14ac:dyDescent="0.3">
      <c r="A14" s="36">
        <v>213</v>
      </c>
      <c r="B14" s="36">
        <v>15</v>
      </c>
      <c r="C14" s="36" t="s">
        <v>236</v>
      </c>
      <c r="D14" s="39">
        <v>350000</v>
      </c>
      <c r="E14" s="41">
        <v>3.25</v>
      </c>
      <c r="F14" s="37">
        <v>43282</v>
      </c>
      <c r="G14" s="37">
        <v>54240</v>
      </c>
      <c r="H14" s="36" t="s">
        <v>176</v>
      </c>
      <c r="I14" s="40">
        <f>INDEX(CUSTOMERS!$H$2:$H$61,MATCH($B14,CUSTOMERS!$A$2:$A$61,0))</f>
        <v>8</v>
      </c>
      <c r="J14" s="40" t="str">
        <f>INDEX(BRANCHES!$B$2:$B$61,MATCH($I14,BRANCHES!$A$2:$A$61,0))</f>
        <v>NorthWest Branch</v>
      </c>
    </row>
    <row r="15" spans="1:10" x14ac:dyDescent="0.3">
      <c r="A15" s="36">
        <v>214</v>
      </c>
      <c r="B15" s="36">
        <v>16</v>
      </c>
      <c r="C15" s="36" t="s">
        <v>238</v>
      </c>
      <c r="D15" s="39">
        <v>15000</v>
      </c>
      <c r="E15" s="41">
        <v>5.8</v>
      </c>
      <c r="F15" s="37">
        <v>44576</v>
      </c>
      <c r="G15" s="37">
        <v>46402</v>
      </c>
      <c r="H15" s="36" t="s">
        <v>176</v>
      </c>
      <c r="I15" s="40">
        <f>INDEX(CUSTOMERS!$H$2:$H$61,MATCH($B15,CUSTOMERS!$A$2:$A$61,0))</f>
        <v>8</v>
      </c>
      <c r="J15" s="40" t="str">
        <f>INDEX(BRANCHES!$B$2:$B$61,MATCH($I15,BRANCHES!$A$2:$A$61,0))</f>
        <v>NorthWest Branch</v>
      </c>
    </row>
    <row r="16" spans="1:10" x14ac:dyDescent="0.3">
      <c r="A16" s="36">
        <v>215</v>
      </c>
      <c r="B16" s="36">
        <v>17</v>
      </c>
      <c r="C16" s="36" t="s">
        <v>239</v>
      </c>
      <c r="D16" s="39">
        <v>10000</v>
      </c>
      <c r="E16" s="41">
        <v>7.5</v>
      </c>
      <c r="F16" s="37">
        <v>43952</v>
      </c>
      <c r="G16" s="37">
        <v>45047</v>
      </c>
      <c r="H16" s="36" t="s">
        <v>227</v>
      </c>
      <c r="I16" s="40">
        <f>INDEX(CUSTOMERS!$H$2:$H$61,MATCH($B16,CUSTOMERS!$A$2:$A$61,0))</f>
        <v>9</v>
      </c>
      <c r="J16" s="40" t="str">
        <f>INDEX(BRANCHES!$B$2:$B$61,MATCH($I16,BRANCHES!$A$2:$A$61,0))</f>
        <v>Harbor Branch</v>
      </c>
    </row>
    <row r="17" spans="1:10" x14ac:dyDescent="0.3">
      <c r="A17" s="36">
        <v>216</v>
      </c>
      <c r="B17" s="36">
        <v>18</v>
      </c>
      <c r="C17" s="36" t="s">
        <v>236</v>
      </c>
      <c r="D17" s="39">
        <v>220000</v>
      </c>
      <c r="E17" s="41">
        <v>3.45</v>
      </c>
      <c r="F17" s="37">
        <v>43678</v>
      </c>
      <c r="G17" s="37">
        <v>54636</v>
      </c>
      <c r="H17" s="36" t="s">
        <v>176</v>
      </c>
      <c r="I17" s="40">
        <f>INDEX(CUSTOMERS!$H$2:$H$61,MATCH($B17,CUSTOMERS!$A$2:$A$61,0))</f>
        <v>9</v>
      </c>
      <c r="J17" s="40" t="str">
        <f>INDEX(BRANCHES!$B$2:$B$61,MATCH($I17,BRANCHES!$A$2:$A$61,0))</f>
        <v>Harbor Branch</v>
      </c>
    </row>
    <row r="18" spans="1:10" x14ac:dyDescent="0.3">
      <c r="A18" s="36">
        <v>217</v>
      </c>
      <c r="B18" s="36">
        <v>19</v>
      </c>
      <c r="C18" s="36" t="s">
        <v>238</v>
      </c>
      <c r="D18" s="39">
        <v>18000</v>
      </c>
      <c r="E18" s="41">
        <v>6.2</v>
      </c>
      <c r="F18" s="37">
        <v>44835</v>
      </c>
      <c r="G18" s="37">
        <v>46661</v>
      </c>
      <c r="H18" s="36" t="s">
        <v>176</v>
      </c>
      <c r="I18" s="40">
        <f>INDEX(CUSTOMERS!$H$2:$H$61,MATCH($B18,CUSTOMERS!$A$2:$A$61,0))</f>
        <v>10</v>
      </c>
      <c r="J18" s="40" t="str">
        <f>INDEX(BRANCHES!$B$2:$B$61,MATCH($I18,BRANCHES!$A$2:$A$61,0))</f>
        <v>Lakeside Branch</v>
      </c>
    </row>
    <row r="19" spans="1:10" x14ac:dyDescent="0.3">
      <c r="A19" s="36">
        <v>218</v>
      </c>
      <c r="B19" s="36">
        <v>20</v>
      </c>
      <c r="C19" s="36" t="s">
        <v>239</v>
      </c>
      <c r="D19" s="39">
        <v>5000</v>
      </c>
      <c r="E19" s="41">
        <v>8.5</v>
      </c>
      <c r="F19" s="37">
        <v>44348</v>
      </c>
      <c r="G19" s="37">
        <v>45444</v>
      </c>
      <c r="H19" s="36" t="s">
        <v>227</v>
      </c>
      <c r="I19" s="40">
        <f>INDEX(CUSTOMERS!$H$2:$H$61,MATCH($B19,CUSTOMERS!$A$2:$A$61,0))</f>
        <v>10</v>
      </c>
      <c r="J19" s="40" t="str">
        <f>INDEX(BRANCHES!$B$2:$B$61,MATCH($I19,BRANCHES!$A$2:$A$61,0))</f>
        <v>Lakeside Branch</v>
      </c>
    </row>
    <row r="20" spans="1:10" x14ac:dyDescent="0.3">
      <c r="A20" s="36">
        <v>219</v>
      </c>
      <c r="B20" s="36">
        <v>21</v>
      </c>
      <c r="C20" s="36" t="s">
        <v>237</v>
      </c>
      <c r="D20" s="39">
        <v>500000</v>
      </c>
      <c r="E20" s="41">
        <v>3.8</v>
      </c>
      <c r="F20" s="37">
        <v>43191</v>
      </c>
      <c r="G20" s="37">
        <v>46844</v>
      </c>
      <c r="H20" s="36" t="s">
        <v>176</v>
      </c>
      <c r="I20" s="40">
        <f>INDEX(CUSTOMERS!$H$2:$H$61,MATCH($B20,CUSTOMERS!$A$2:$A$61,0))</f>
        <v>11</v>
      </c>
      <c r="J20" s="40" t="str">
        <f>INDEX(BRANCHES!$B$2:$B$61,MATCH($I20,BRANCHES!$A$2:$A$61,0))</f>
        <v>Bay Branch</v>
      </c>
    </row>
    <row r="21" spans="1:10" x14ac:dyDescent="0.3">
      <c r="A21" s="36">
        <v>220</v>
      </c>
      <c r="B21" s="36">
        <v>22</v>
      </c>
      <c r="C21" s="36" t="s">
        <v>236</v>
      </c>
      <c r="D21" s="39">
        <v>280000</v>
      </c>
      <c r="E21" s="41">
        <v>3.55</v>
      </c>
      <c r="F21" s="37">
        <v>44136</v>
      </c>
      <c r="G21" s="37">
        <v>55093</v>
      </c>
      <c r="H21" s="36" t="s">
        <v>176</v>
      </c>
      <c r="I21" s="40">
        <f>INDEX(CUSTOMERS!$H$2:$H$61,MATCH($B21,CUSTOMERS!$A$2:$A$61,0))</f>
        <v>11</v>
      </c>
      <c r="J21" s="40" t="str">
        <f>INDEX(BRANCHES!$B$2:$B$61,MATCH($I21,BRANCHES!$A$2:$A$61,0))</f>
        <v>Bay Branch</v>
      </c>
    </row>
    <row r="22" spans="1:10" x14ac:dyDescent="0.3">
      <c r="A22" s="36">
        <v>221</v>
      </c>
      <c r="B22" s="36">
        <v>23</v>
      </c>
      <c r="C22" s="36" t="s">
        <v>238</v>
      </c>
      <c r="D22" s="39">
        <v>22000</v>
      </c>
      <c r="E22" s="41">
        <v>5.9</v>
      </c>
      <c r="F22" s="37">
        <v>43525</v>
      </c>
      <c r="G22" s="37">
        <v>45352</v>
      </c>
      <c r="H22" s="36" t="s">
        <v>227</v>
      </c>
      <c r="I22" s="40">
        <f>INDEX(CUSTOMERS!$H$2:$H$61,MATCH($B22,CUSTOMERS!$A$2:$A$61,0))</f>
        <v>12</v>
      </c>
      <c r="J22" s="40" t="str">
        <f>INDEX(BRANCHES!$B$2:$B$61,MATCH($I22,BRANCHES!$A$2:$A$61,0))</f>
        <v>Riverside Branch</v>
      </c>
    </row>
    <row r="23" spans="1:10" x14ac:dyDescent="0.3">
      <c r="A23" s="36">
        <v>222</v>
      </c>
      <c r="B23" s="36">
        <v>24</v>
      </c>
      <c r="C23" s="36" t="s">
        <v>239</v>
      </c>
      <c r="D23" s="39">
        <v>7000</v>
      </c>
      <c r="E23" s="41">
        <v>7.9</v>
      </c>
      <c r="F23" s="37">
        <v>44440</v>
      </c>
      <c r="G23" s="37">
        <v>45536</v>
      </c>
      <c r="H23" s="36" t="s">
        <v>176</v>
      </c>
      <c r="I23" s="40">
        <f>INDEX(CUSTOMERS!$H$2:$H$61,MATCH($B23,CUSTOMERS!$A$2:$A$61,0))</f>
        <v>12</v>
      </c>
      <c r="J23" s="40" t="str">
        <f>INDEX(BRANCHES!$B$2:$B$61,MATCH($I23,BRANCHES!$A$2:$A$61,0))</f>
        <v>Riverside Branch</v>
      </c>
    </row>
    <row r="24" spans="1:10" x14ac:dyDescent="0.3">
      <c r="A24" s="36">
        <v>223</v>
      </c>
      <c r="B24" s="36">
        <v>25</v>
      </c>
      <c r="C24" s="36" t="s">
        <v>236</v>
      </c>
      <c r="D24" s="39">
        <v>195000</v>
      </c>
      <c r="E24" s="41">
        <v>3.7</v>
      </c>
      <c r="F24" s="37">
        <v>44013</v>
      </c>
      <c r="G24" s="37">
        <v>54970</v>
      </c>
      <c r="H24" s="36" t="s">
        <v>176</v>
      </c>
      <c r="I24" s="40">
        <f>INDEX(CUSTOMERS!$H$2:$H$61,MATCH($B24,CUSTOMERS!$A$2:$A$61,0))</f>
        <v>13</v>
      </c>
      <c r="J24" s="40" t="str">
        <f>INDEX(BRANCHES!$B$2:$B$61,MATCH($I24,BRANCHES!$A$2:$A$61,0))</f>
        <v>Metro Branch</v>
      </c>
    </row>
    <row r="25" spans="1:10" x14ac:dyDescent="0.3">
      <c r="A25" s="36">
        <v>224</v>
      </c>
      <c r="B25" s="36">
        <v>26</v>
      </c>
      <c r="C25" s="36" t="s">
        <v>238</v>
      </c>
      <c r="D25" s="39">
        <v>12000</v>
      </c>
      <c r="E25" s="41">
        <v>6.1</v>
      </c>
      <c r="F25" s="37">
        <v>44652</v>
      </c>
      <c r="G25" s="37">
        <v>46478</v>
      </c>
      <c r="H25" s="36" t="s">
        <v>176</v>
      </c>
      <c r="I25" s="40">
        <f>INDEX(CUSTOMERS!$H$2:$H$61,MATCH($B25,CUSTOMERS!$A$2:$A$61,0))</f>
        <v>13</v>
      </c>
      <c r="J25" s="40" t="str">
        <f>INDEX(BRANCHES!$B$2:$B$61,MATCH($I25,BRANCHES!$A$2:$A$61,0))</f>
        <v>Metro Branch</v>
      </c>
    </row>
    <row r="26" spans="1:10" x14ac:dyDescent="0.3">
      <c r="A26" s="36">
        <v>225</v>
      </c>
      <c r="B26" s="36">
        <v>27</v>
      </c>
      <c r="C26" s="36" t="s">
        <v>237</v>
      </c>
      <c r="D26" s="39">
        <v>300000</v>
      </c>
      <c r="E26" s="41">
        <v>3.95</v>
      </c>
      <c r="F26" s="37">
        <v>43739</v>
      </c>
      <c r="G26" s="37">
        <v>47392</v>
      </c>
      <c r="H26" s="36" t="s">
        <v>176</v>
      </c>
      <c r="I26" s="40">
        <f>INDEX(CUSTOMERS!$H$2:$H$61,MATCH($B26,CUSTOMERS!$A$2:$A$61,0))</f>
        <v>14</v>
      </c>
      <c r="J26" s="40" t="str">
        <f>INDEX(BRANCHES!$B$2:$B$61,MATCH($I26,BRANCHES!$A$2:$A$61,0))</f>
        <v>Midtown Branch</v>
      </c>
    </row>
    <row r="27" spans="1:10" x14ac:dyDescent="0.3">
      <c r="A27" s="36">
        <v>226</v>
      </c>
      <c r="B27" s="36">
        <v>28</v>
      </c>
      <c r="C27" s="36" t="s">
        <v>236</v>
      </c>
      <c r="D27" s="39">
        <v>160000</v>
      </c>
      <c r="E27" s="41">
        <v>3.65</v>
      </c>
      <c r="F27" s="37">
        <v>44228</v>
      </c>
      <c r="G27" s="37">
        <v>55185</v>
      </c>
      <c r="H27" s="36" t="s">
        <v>176</v>
      </c>
      <c r="I27" s="40">
        <f>INDEX(CUSTOMERS!$H$2:$H$61,MATCH($B27,CUSTOMERS!$A$2:$A$61,0))</f>
        <v>14</v>
      </c>
      <c r="J27" s="40" t="str">
        <f>INDEX(BRANCHES!$B$2:$B$61,MATCH($I27,BRANCHES!$A$2:$A$61,0))</f>
        <v>Midtown Branch</v>
      </c>
    </row>
    <row r="28" spans="1:10" x14ac:dyDescent="0.3">
      <c r="A28" s="36">
        <v>227</v>
      </c>
      <c r="B28" s="36">
        <v>29</v>
      </c>
      <c r="C28" s="36" t="s">
        <v>239</v>
      </c>
      <c r="D28" s="39">
        <v>6000</v>
      </c>
      <c r="E28" s="41">
        <v>8.1999999999999993</v>
      </c>
      <c r="F28" s="37">
        <v>44044</v>
      </c>
      <c r="G28" s="37">
        <v>45139</v>
      </c>
      <c r="H28" s="36" t="s">
        <v>227</v>
      </c>
      <c r="I28" s="40">
        <f>INDEX(CUSTOMERS!$H$2:$H$61,MATCH($B28,CUSTOMERS!$A$2:$A$61,0))</f>
        <v>15</v>
      </c>
      <c r="J28" s="40" t="str">
        <f>INDEX(BRANCHES!$B$2:$B$61,MATCH($I28,BRANCHES!$A$2:$A$61,0))</f>
        <v>Garden Branch</v>
      </c>
    </row>
    <row r="29" spans="1:10" x14ac:dyDescent="0.3">
      <c r="A29" s="36">
        <v>228</v>
      </c>
      <c r="B29" s="36">
        <v>30</v>
      </c>
      <c r="C29" s="36" t="s">
        <v>238</v>
      </c>
      <c r="D29" s="39">
        <v>14000</v>
      </c>
      <c r="E29" s="41">
        <v>5.7</v>
      </c>
      <c r="F29" s="37">
        <v>44896</v>
      </c>
      <c r="G29" s="37">
        <v>46722</v>
      </c>
      <c r="H29" s="36" t="s">
        <v>176</v>
      </c>
      <c r="I29" s="40">
        <f>INDEX(CUSTOMERS!$H$2:$H$61,MATCH($B29,CUSTOMERS!$A$2:$A$61,0))</f>
        <v>15</v>
      </c>
      <c r="J29" s="40" t="str">
        <f>INDEX(BRANCHES!$B$2:$B$61,MATCH($I29,BRANCHES!$A$2:$A$61,0))</f>
        <v>Garden Branch</v>
      </c>
    </row>
    <row r="30" spans="1:10" x14ac:dyDescent="0.3">
      <c r="A30" s="36">
        <v>229</v>
      </c>
      <c r="B30" s="36">
        <v>31</v>
      </c>
      <c r="C30" s="36" t="s">
        <v>236</v>
      </c>
      <c r="D30" s="39">
        <v>240000</v>
      </c>
      <c r="E30" s="41">
        <v>3.4</v>
      </c>
      <c r="F30" s="37">
        <v>43466</v>
      </c>
      <c r="G30" s="37">
        <v>54424</v>
      </c>
      <c r="H30" s="36" t="s">
        <v>176</v>
      </c>
      <c r="I30" s="40">
        <f>INDEX(CUSTOMERS!$H$2:$H$61,MATCH($B30,CUSTOMERS!$A$2:$A$61,0))</f>
        <v>6</v>
      </c>
      <c r="J30" s="40" t="str">
        <f>INDEX(BRANCHES!$B$2:$B$61,MATCH($I30,BRANCHES!$A$2:$A$61,0))</f>
        <v>South Branch</v>
      </c>
    </row>
    <row r="31" spans="1:10" x14ac:dyDescent="0.3">
      <c r="A31" s="36">
        <v>230</v>
      </c>
      <c r="B31" s="36">
        <v>32</v>
      </c>
      <c r="C31" s="36" t="s">
        <v>239</v>
      </c>
      <c r="D31" s="39">
        <v>9000</v>
      </c>
      <c r="E31" s="41">
        <v>7.6</v>
      </c>
      <c r="F31" s="37">
        <v>43922</v>
      </c>
      <c r="G31" s="37">
        <v>45017</v>
      </c>
      <c r="H31" s="36" t="s">
        <v>227</v>
      </c>
      <c r="I31" s="40">
        <f>INDEX(CUSTOMERS!$H$2:$H$61,MATCH($B31,CUSTOMERS!$A$2:$A$61,0))</f>
        <v>7</v>
      </c>
      <c r="J31" s="40" t="str">
        <f>INDEX(BRANCHES!$B$2:$B$61,MATCH($I31,BRANCHES!$A$2:$A$61,0))</f>
        <v>Central Branch</v>
      </c>
    </row>
    <row r="32" spans="1:10" x14ac:dyDescent="0.3">
      <c r="A32" s="36">
        <v>231</v>
      </c>
      <c r="B32" s="36">
        <v>33</v>
      </c>
      <c r="C32" s="36" t="s">
        <v>238</v>
      </c>
      <c r="D32" s="39">
        <v>16000</v>
      </c>
      <c r="E32" s="41">
        <v>5.95</v>
      </c>
      <c r="F32" s="37">
        <v>44378</v>
      </c>
      <c r="G32" s="37">
        <v>46204</v>
      </c>
      <c r="H32" s="36" t="s">
        <v>176</v>
      </c>
      <c r="I32" s="40">
        <f>INDEX(CUSTOMERS!$H$2:$H$61,MATCH($B32,CUSTOMERS!$A$2:$A$61,0))</f>
        <v>8</v>
      </c>
      <c r="J32" s="40" t="str">
        <f>INDEX(BRANCHES!$B$2:$B$61,MATCH($I32,BRANCHES!$A$2:$A$61,0))</f>
        <v>NorthWest Branch</v>
      </c>
    </row>
    <row r="33" spans="1:10" x14ac:dyDescent="0.3">
      <c r="A33" s="36">
        <v>232</v>
      </c>
      <c r="B33" s="36">
        <v>34</v>
      </c>
      <c r="C33" s="36" t="s">
        <v>237</v>
      </c>
      <c r="D33" s="39">
        <v>400000</v>
      </c>
      <c r="E33" s="41">
        <v>3.85</v>
      </c>
      <c r="F33" s="37">
        <v>43770</v>
      </c>
      <c r="G33" s="37">
        <v>47423</v>
      </c>
      <c r="H33" s="36" t="s">
        <v>176</v>
      </c>
      <c r="I33" s="40">
        <f>INDEX(CUSTOMERS!$H$2:$H$61,MATCH($B33,CUSTOMERS!$A$2:$A$61,0))</f>
        <v>9</v>
      </c>
      <c r="J33" s="40" t="str">
        <f>INDEX(BRANCHES!$B$2:$B$61,MATCH($I33,BRANCHES!$A$2:$A$61,0))</f>
        <v>Harbor Branch</v>
      </c>
    </row>
    <row r="34" spans="1:10" x14ac:dyDescent="0.3">
      <c r="A34" s="36">
        <v>233</v>
      </c>
      <c r="B34" s="36">
        <v>35</v>
      </c>
      <c r="C34" s="36" t="s">
        <v>239</v>
      </c>
      <c r="D34" s="39">
        <v>4000</v>
      </c>
      <c r="E34" s="41">
        <v>8.8000000000000007</v>
      </c>
      <c r="F34" s="37">
        <v>44682</v>
      </c>
      <c r="G34" s="37">
        <v>45778</v>
      </c>
      <c r="H34" s="36" t="s">
        <v>176</v>
      </c>
      <c r="I34" s="40">
        <f>INDEX(CUSTOMERS!$H$2:$H$61,MATCH($B34,CUSTOMERS!$A$2:$A$61,0))</f>
        <v>10</v>
      </c>
      <c r="J34" s="40" t="str">
        <f>INDEX(BRANCHES!$B$2:$B$61,MATCH($I34,BRANCHES!$A$2:$A$61,0))</f>
        <v>Lakeside Branch</v>
      </c>
    </row>
    <row r="35" spans="1:10" x14ac:dyDescent="0.3">
      <c r="A35" s="36">
        <v>234</v>
      </c>
      <c r="B35" s="36">
        <v>36</v>
      </c>
      <c r="C35" s="36" t="s">
        <v>236</v>
      </c>
      <c r="D35" s="39">
        <v>310000</v>
      </c>
      <c r="E35" s="41">
        <v>3.3</v>
      </c>
      <c r="F35" s="37">
        <v>44105</v>
      </c>
      <c r="G35" s="37">
        <v>55062</v>
      </c>
      <c r="H35" s="36" t="s">
        <v>176</v>
      </c>
      <c r="I35" s="40">
        <f>INDEX(CUSTOMERS!$H$2:$H$61,MATCH($B35,CUSTOMERS!$A$2:$A$61,0))</f>
        <v>11</v>
      </c>
      <c r="J35" s="40" t="str">
        <f>INDEX(BRANCHES!$B$2:$B$61,MATCH($I35,BRANCHES!$A$2:$A$61,0))</f>
        <v>Bay Branch</v>
      </c>
    </row>
    <row r="36" spans="1:10" x14ac:dyDescent="0.3">
      <c r="A36" s="36">
        <v>235</v>
      </c>
      <c r="B36" s="36">
        <v>37</v>
      </c>
      <c r="C36" s="36" t="s">
        <v>238</v>
      </c>
      <c r="D36" s="39">
        <v>25000</v>
      </c>
      <c r="E36" s="41">
        <v>5.4</v>
      </c>
      <c r="F36" s="37">
        <v>43344</v>
      </c>
      <c r="G36" s="37">
        <v>45170</v>
      </c>
      <c r="H36" s="36" t="s">
        <v>227</v>
      </c>
      <c r="I36" s="40">
        <f>INDEX(CUSTOMERS!$H$2:$H$61,MATCH($B36,CUSTOMERS!$A$2:$A$61,0))</f>
        <v>12</v>
      </c>
      <c r="J36" s="40" t="str">
        <f>INDEX(BRANCHES!$B$2:$B$61,MATCH($I36,BRANCHES!$A$2:$A$61,0))</f>
        <v>Riverside Branch</v>
      </c>
    </row>
    <row r="37" spans="1:10" x14ac:dyDescent="0.3">
      <c r="A37" s="36">
        <v>236</v>
      </c>
      <c r="B37" s="36">
        <v>38</v>
      </c>
      <c r="C37" s="36" t="s">
        <v>239</v>
      </c>
      <c r="D37" s="39">
        <v>3500</v>
      </c>
      <c r="E37" s="41">
        <v>9</v>
      </c>
      <c r="F37" s="37">
        <v>44256</v>
      </c>
      <c r="G37" s="37">
        <v>45352</v>
      </c>
      <c r="H37" s="36" t="s">
        <v>176</v>
      </c>
      <c r="I37" s="40">
        <f>INDEX(CUSTOMERS!$H$2:$H$61,MATCH($B37,CUSTOMERS!$A$2:$A$61,0))</f>
        <v>13</v>
      </c>
      <c r="J37" s="40" t="str">
        <f>INDEX(BRANCHES!$B$2:$B$61,MATCH($I37,BRANCHES!$A$2:$A$61,0))</f>
        <v>Metro Branch</v>
      </c>
    </row>
    <row r="38" spans="1:10" x14ac:dyDescent="0.3">
      <c r="A38" s="36">
        <v>237</v>
      </c>
      <c r="B38" s="36">
        <v>39</v>
      </c>
      <c r="C38" s="36" t="s">
        <v>236</v>
      </c>
      <c r="D38" s="39">
        <v>175000</v>
      </c>
      <c r="E38" s="41">
        <v>3.75</v>
      </c>
      <c r="F38" s="37">
        <v>43983</v>
      </c>
      <c r="G38" s="37">
        <v>54940</v>
      </c>
      <c r="H38" s="36" t="s">
        <v>176</v>
      </c>
      <c r="I38" s="40">
        <f>INDEX(CUSTOMERS!$H$2:$H$61,MATCH($B38,CUSTOMERS!$A$2:$A$61,0))</f>
        <v>14</v>
      </c>
      <c r="J38" s="40" t="str">
        <f>INDEX(BRANCHES!$B$2:$B$61,MATCH($I38,BRANCHES!$A$2:$A$61,0))</f>
        <v>Midtown Branch</v>
      </c>
    </row>
    <row r="39" spans="1:10" x14ac:dyDescent="0.3">
      <c r="A39" s="36">
        <v>238</v>
      </c>
      <c r="B39" s="36">
        <v>40</v>
      </c>
      <c r="C39" s="36" t="s">
        <v>238</v>
      </c>
      <c r="D39" s="39">
        <v>11000</v>
      </c>
      <c r="E39" s="41">
        <v>6.3</v>
      </c>
      <c r="F39" s="37">
        <v>44805</v>
      </c>
      <c r="G39" s="37">
        <v>46631</v>
      </c>
      <c r="H39" s="36" t="s">
        <v>176</v>
      </c>
      <c r="I39" s="40">
        <f>INDEX(CUSTOMERS!$H$2:$H$61,MATCH($B39,CUSTOMERS!$A$2:$A$61,0))</f>
        <v>15</v>
      </c>
      <c r="J39" s="40" t="str">
        <f>INDEX(BRANCHES!$B$2:$B$61,MATCH($I39,BRANCHES!$A$2:$A$61,0))</f>
        <v>Garden Branch</v>
      </c>
    </row>
    <row r="40" spans="1:10" x14ac:dyDescent="0.3">
      <c r="A40" s="36">
        <v>239</v>
      </c>
      <c r="B40" s="36">
        <v>41</v>
      </c>
      <c r="C40" s="36" t="s">
        <v>236</v>
      </c>
      <c r="D40" s="39">
        <v>210000</v>
      </c>
      <c r="E40" s="41">
        <v>3.55</v>
      </c>
      <c r="F40" s="37">
        <v>43497</v>
      </c>
      <c r="G40" s="37">
        <v>54455</v>
      </c>
      <c r="H40" s="36" t="s">
        <v>176</v>
      </c>
      <c r="I40" s="40">
        <f>INDEX(CUSTOMERS!$H$2:$H$61,MATCH($B40,CUSTOMERS!$A$2:$A$61,0))</f>
        <v>1</v>
      </c>
      <c r="J40" s="40" t="str">
        <f>INDEX(BRANCHES!$B$2:$B$61,MATCH($I40,BRANCHES!$A$2:$A$61,0))</f>
        <v>Main Branch</v>
      </c>
    </row>
    <row r="41" spans="1:10" x14ac:dyDescent="0.3">
      <c r="A41" s="36">
        <v>240</v>
      </c>
      <c r="B41" s="36">
        <v>42</v>
      </c>
      <c r="C41" s="36" t="s">
        <v>239</v>
      </c>
      <c r="D41" s="39">
        <v>5500</v>
      </c>
      <c r="E41" s="41">
        <v>8.3000000000000007</v>
      </c>
      <c r="F41" s="37">
        <v>44409</v>
      </c>
      <c r="G41" s="37">
        <v>45505</v>
      </c>
      <c r="H41" s="36" t="s">
        <v>176</v>
      </c>
      <c r="I41" s="40">
        <f>INDEX(CUSTOMERS!$H$2:$H$61,MATCH($B41,CUSTOMERS!$A$2:$A$61,0))</f>
        <v>2</v>
      </c>
      <c r="J41" s="40" t="str">
        <f>INDEX(BRANCHES!$B$2:$B$61,MATCH($I41,BRANCHES!$A$2:$A$61,0))</f>
        <v>Downtown Branch</v>
      </c>
    </row>
    <row r="42" spans="1:10" x14ac:dyDescent="0.3">
      <c r="A42" s="36">
        <v>241</v>
      </c>
      <c r="B42" s="36">
        <v>43</v>
      </c>
      <c r="C42" s="36" t="s">
        <v>238</v>
      </c>
      <c r="D42" s="39">
        <v>19000</v>
      </c>
      <c r="E42" s="41">
        <v>5.65</v>
      </c>
      <c r="F42" s="37">
        <v>44166</v>
      </c>
      <c r="G42" s="37">
        <v>45992</v>
      </c>
      <c r="H42" s="36" t="s">
        <v>176</v>
      </c>
      <c r="I42" s="40">
        <f>INDEX(CUSTOMERS!$H$2:$H$61,MATCH($B42,CUSTOMERS!$A$2:$A$61,0))</f>
        <v>3</v>
      </c>
      <c r="J42" s="40" t="str">
        <f>INDEX(BRANCHES!$B$2:$B$61,MATCH($I42,BRANCHES!$A$2:$A$61,0))</f>
        <v>West Branch</v>
      </c>
    </row>
    <row r="43" spans="1:10" x14ac:dyDescent="0.3">
      <c r="A43" s="36">
        <v>242</v>
      </c>
      <c r="B43" s="36">
        <v>44</v>
      </c>
      <c r="C43" s="36" t="s">
        <v>237</v>
      </c>
      <c r="D43" s="39">
        <v>250000</v>
      </c>
      <c r="E43" s="41">
        <v>4</v>
      </c>
      <c r="F43" s="37">
        <v>43252</v>
      </c>
      <c r="G43" s="37">
        <v>46905</v>
      </c>
      <c r="H43" s="36" t="s">
        <v>176</v>
      </c>
      <c r="I43" s="40">
        <f>INDEX(CUSTOMERS!$H$2:$H$61,MATCH($B43,CUSTOMERS!$A$2:$A$61,0))</f>
        <v>4</v>
      </c>
      <c r="J43" s="40" t="str">
        <f>INDEX(BRANCHES!$B$2:$B$61,MATCH($I43,BRANCHES!$A$2:$A$61,0))</f>
        <v>North Branch</v>
      </c>
    </row>
    <row r="44" spans="1:10" x14ac:dyDescent="0.3">
      <c r="A44" s="36">
        <v>243</v>
      </c>
      <c r="B44" s="36">
        <v>45</v>
      </c>
      <c r="C44" s="36" t="s">
        <v>239</v>
      </c>
      <c r="D44" s="39">
        <v>7500</v>
      </c>
      <c r="E44" s="41">
        <v>7.8</v>
      </c>
      <c r="F44" s="37">
        <v>44743</v>
      </c>
      <c r="G44" s="37">
        <v>45839</v>
      </c>
      <c r="H44" s="36" t="s">
        <v>176</v>
      </c>
      <c r="I44" s="40">
        <f>INDEX(CUSTOMERS!$H$2:$H$61,MATCH($B44,CUSTOMERS!$A$2:$A$61,0))</f>
        <v>5</v>
      </c>
      <c r="J44" s="40" t="str">
        <f>INDEX(BRANCHES!$B$2:$B$61,MATCH($I44,BRANCHES!$A$2:$A$61,0))</f>
        <v>East Branch</v>
      </c>
    </row>
    <row r="45" spans="1:10" x14ac:dyDescent="0.3">
      <c r="A45" s="36">
        <v>244</v>
      </c>
      <c r="B45" s="36">
        <v>46</v>
      </c>
      <c r="C45" s="36" t="s">
        <v>236</v>
      </c>
      <c r="D45" s="39">
        <v>195000</v>
      </c>
      <c r="E45" s="41">
        <v>3.6</v>
      </c>
      <c r="F45" s="37">
        <v>43586</v>
      </c>
      <c r="G45" s="37">
        <v>54544</v>
      </c>
      <c r="H45" s="36" t="s">
        <v>176</v>
      </c>
      <c r="I45" s="40">
        <f>INDEX(CUSTOMERS!$H$2:$H$61,MATCH($B45,CUSTOMERS!$A$2:$A$61,0))</f>
        <v>6</v>
      </c>
      <c r="J45" s="40" t="str">
        <f>INDEX(BRANCHES!$B$2:$B$61,MATCH($I45,BRANCHES!$A$2:$A$61,0))</f>
        <v>South Branch</v>
      </c>
    </row>
    <row r="46" spans="1:10" x14ac:dyDescent="0.3">
      <c r="A46" s="36">
        <v>245</v>
      </c>
      <c r="B46" s="36">
        <v>47</v>
      </c>
      <c r="C46" s="36" t="s">
        <v>238</v>
      </c>
      <c r="D46" s="39">
        <v>13000</v>
      </c>
      <c r="E46" s="41">
        <v>5.85</v>
      </c>
      <c r="F46" s="37">
        <v>44501</v>
      </c>
      <c r="G46" s="37">
        <v>46327</v>
      </c>
      <c r="H46" s="36" t="s">
        <v>176</v>
      </c>
      <c r="I46" s="40">
        <f>INDEX(CUSTOMERS!$H$2:$H$61,MATCH($B46,CUSTOMERS!$A$2:$A$61,0))</f>
        <v>7</v>
      </c>
      <c r="J46" s="40" t="str">
        <f>INDEX(BRANCHES!$B$2:$B$61,MATCH($I46,BRANCHES!$A$2:$A$61,0))</f>
        <v>Central Branch</v>
      </c>
    </row>
    <row r="47" spans="1:10" x14ac:dyDescent="0.3">
      <c r="A47" s="36">
        <v>246</v>
      </c>
      <c r="B47" s="36">
        <v>48</v>
      </c>
      <c r="C47" s="36" t="s">
        <v>239</v>
      </c>
      <c r="D47" s="39">
        <v>6500</v>
      </c>
      <c r="E47" s="41">
        <v>8.1</v>
      </c>
      <c r="F47" s="37">
        <v>43891</v>
      </c>
      <c r="G47" s="37">
        <v>44986</v>
      </c>
      <c r="H47" s="36" t="s">
        <v>227</v>
      </c>
      <c r="I47" s="40">
        <f>INDEX(CUSTOMERS!$H$2:$H$61,MATCH($B47,CUSTOMERS!$A$2:$A$61,0))</f>
        <v>8</v>
      </c>
      <c r="J47" s="40" t="str">
        <f>INDEX(BRANCHES!$B$2:$B$61,MATCH($I47,BRANCHES!$A$2:$A$61,0))</f>
        <v>NorthWest Branch</v>
      </c>
    </row>
    <row r="48" spans="1:10" x14ac:dyDescent="0.3">
      <c r="A48" s="36">
        <v>247</v>
      </c>
      <c r="B48" s="36">
        <v>49</v>
      </c>
      <c r="C48" s="36" t="s">
        <v>236</v>
      </c>
      <c r="D48" s="39">
        <v>145000</v>
      </c>
      <c r="E48" s="41">
        <v>3.8</v>
      </c>
      <c r="F48" s="37">
        <v>44774</v>
      </c>
      <c r="G48" s="37">
        <v>55732</v>
      </c>
      <c r="H48" s="36" t="s">
        <v>176</v>
      </c>
      <c r="I48" s="40">
        <f>INDEX(CUSTOMERS!$H$2:$H$61,MATCH($B48,CUSTOMERS!$A$2:$A$61,0))</f>
        <v>9</v>
      </c>
      <c r="J48" s="40" t="str">
        <f>INDEX(BRANCHES!$B$2:$B$61,MATCH($I48,BRANCHES!$A$2:$A$61,0))</f>
        <v>Harbor Branch</v>
      </c>
    </row>
    <row r="49" spans="1:10" x14ac:dyDescent="0.3">
      <c r="A49" s="36">
        <v>248</v>
      </c>
      <c r="B49" s="36">
        <v>50</v>
      </c>
      <c r="C49" s="36" t="s">
        <v>238</v>
      </c>
      <c r="D49" s="39">
        <v>17000</v>
      </c>
      <c r="E49" s="41">
        <v>5.75</v>
      </c>
      <c r="F49" s="37">
        <v>44287</v>
      </c>
      <c r="G49" s="37">
        <v>46113</v>
      </c>
      <c r="H49" s="36" t="s">
        <v>176</v>
      </c>
      <c r="I49" s="40">
        <f>INDEX(CUSTOMERS!$H$2:$H$61,MATCH($B49,CUSTOMERS!$A$2:$A$61,0))</f>
        <v>10</v>
      </c>
      <c r="J49" s="40" t="str">
        <f>INDEX(BRANCHES!$B$2:$B$61,MATCH($I49,BRANCHES!$A$2:$A$61,0))</f>
        <v>Lakeside Branch</v>
      </c>
    </row>
    <row r="50" spans="1:10" x14ac:dyDescent="0.3">
      <c r="A50" s="36">
        <v>249</v>
      </c>
      <c r="B50" s="36">
        <v>51</v>
      </c>
      <c r="C50" s="36" t="s">
        <v>236</v>
      </c>
      <c r="D50" s="39">
        <v>225000</v>
      </c>
      <c r="E50" s="41">
        <v>3.55</v>
      </c>
      <c r="F50" s="37">
        <v>44348</v>
      </c>
      <c r="G50" s="37">
        <v>55305</v>
      </c>
      <c r="H50" s="36" t="s">
        <v>176</v>
      </c>
      <c r="I50" s="40">
        <f>INDEX(CUSTOMERS!$H$2:$H$61,MATCH($B50,CUSTOMERS!$A$2:$A$61,0))</f>
        <v>30</v>
      </c>
      <c r="J50" s="40" t="str">
        <f>INDEX(BRANCHES!$B$2:$B$61,MATCH($I50,BRANCHES!$A$2:$A$61,0))</f>
        <v>Strip Branch</v>
      </c>
    </row>
    <row r="51" spans="1:10" x14ac:dyDescent="0.3">
      <c r="A51" s="36">
        <v>250</v>
      </c>
      <c r="B51" s="36">
        <v>52</v>
      </c>
      <c r="C51" s="36" t="s">
        <v>238</v>
      </c>
      <c r="D51" s="39">
        <v>16000</v>
      </c>
      <c r="E51" s="41">
        <v>5.65</v>
      </c>
      <c r="F51" s="37">
        <v>44470</v>
      </c>
      <c r="G51" s="37">
        <v>46296</v>
      </c>
      <c r="H51" s="36" t="s">
        <v>176</v>
      </c>
      <c r="I51" s="40">
        <f>INDEX(CUSTOMERS!$H$2:$H$61,MATCH($B51,CUSTOMERS!$A$2:$A$61,0))</f>
        <v>31</v>
      </c>
      <c r="J51" s="40" t="str">
        <f>INDEX(BRANCHES!$B$2:$B$61,MATCH($I51,BRANCHES!$A$2:$A$61,0))</f>
        <v>Broadway Branch</v>
      </c>
    </row>
    <row r="52" spans="1:10" x14ac:dyDescent="0.3">
      <c r="A52" s="36">
        <v>251</v>
      </c>
      <c r="B52" s="36">
        <v>53</v>
      </c>
      <c r="C52" s="36" t="s">
        <v>237</v>
      </c>
      <c r="D52" s="39">
        <v>350000</v>
      </c>
      <c r="E52" s="41">
        <v>3.9</v>
      </c>
      <c r="F52" s="37">
        <v>43586</v>
      </c>
      <c r="G52" s="37">
        <v>47239</v>
      </c>
      <c r="H52" s="36" t="s">
        <v>176</v>
      </c>
      <c r="I52" s="40">
        <f>INDEX(CUSTOMERS!$H$2:$H$61,MATCH($B52,CUSTOMERS!$A$2:$A$61,0))</f>
        <v>32</v>
      </c>
      <c r="J52" s="40" t="str">
        <f>INDEX(BRANCHES!$B$2:$B$61,MATCH($I52,BRANCHES!$A$2:$A$61,0))</f>
        <v>Sixth Street Branch</v>
      </c>
    </row>
    <row r="53" spans="1:10" x14ac:dyDescent="0.3">
      <c r="A53" s="36">
        <v>252</v>
      </c>
      <c r="B53" s="36">
        <v>54</v>
      </c>
      <c r="C53" s="36" t="s">
        <v>239</v>
      </c>
      <c r="D53" s="39">
        <v>4500</v>
      </c>
      <c r="E53" s="41">
        <v>8.1999999999999993</v>
      </c>
      <c r="F53" s="37">
        <v>44621</v>
      </c>
      <c r="G53" s="37">
        <v>45717</v>
      </c>
      <c r="H53" s="36" t="s">
        <v>176</v>
      </c>
      <c r="I53" s="40">
        <f>INDEX(CUSTOMERS!$H$2:$H$61,MATCH($B53,CUSTOMERS!$A$2:$A$61,0))</f>
        <v>33</v>
      </c>
      <c r="J53" s="40" t="str">
        <f>INDEX(BRANCHES!$B$2:$B$61,MATCH($I53,BRANCHES!$A$2:$A$61,0))</f>
        <v>Gaslamp Branch</v>
      </c>
    </row>
    <row r="54" spans="1:10" x14ac:dyDescent="0.3">
      <c r="A54" s="36">
        <v>253</v>
      </c>
      <c r="B54" s="36">
        <v>55</v>
      </c>
      <c r="C54" s="36" t="s">
        <v>238</v>
      </c>
      <c r="D54" s="39">
        <v>18500</v>
      </c>
      <c r="E54" s="41">
        <v>5.75</v>
      </c>
      <c r="F54" s="37">
        <v>44440</v>
      </c>
      <c r="G54" s="37">
        <v>46266</v>
      </c>
      <c r="H54" s="36" t="s">
        <v>176</v>
      </c>
      <c r="I54" s="40">
        <f>INDEX(CUSTOMERS!$H$2:$H$61,MATCH($B54,CUSTOMERS!$A$2:$A$61,0))</f>
        <v>34</v>
      </c>
      <c r="J54" s="40" t="str">
        <f>INDEX(BRANCHES!$B$2:$B$61,MATCH($I54,BRANCHES!$A$2:$A$61,0))</f>
        <v>Midtown Branch</v>
      </c>
    </row>
    <row r="55" spans="1:10" x14ac:dyDescent="0.3">
      <c r="A55" s="36">
        <v>254</v>
      </c>
      <c r="B55" s="36">
        <v>56</v>
      </c>
      <c r="C55" s="36" t="s">
        <v>236</v>
      </c>
      <c r="D55" s="39">
        <v>280000</v>
      </c>
      <c r="E55" s="41">
        <v>3.4</v>
      </c>
      <c r="F55" s="37">
        <v>44166</v>
      </c>
      <c r="G55" s="37">
        <v>55123</v>
      </c>
      <c r="H55" s="36" t="s">
        <v>176</v>
      </c>
      <c r="I55" s="40">
        <f>INDEX(CUSTOMERS!$H$2:$H$61,MATCH($B55,CUSTOMERS!$A$2:$A$61,0))</f>
        <v>35</v>
      </c>
      <c r="J55" s="40" t="str">
        <f>INDEX(BRANCHES!$B$2:$B$61,MATCH($I55,BRANCHES!$A$2:$A$61,0))</f>
        <v>Uptown Branch</v>
      </c>
    </row>
    <row r="56" spans="1:10" x14ac:dyDescent="0.3">
      <c r="A56" s="36">
        <v>255</v>
      </c>
      <c r="B56" s="36">
        <v>57</v>
      </c>
      <c r="C56" s="36" t="s">
        <v>237</v>
      </c>
      <c r="D56" s="39">
        <v>180000</v>
      </c>
      <c r="E56" s="41">
        <v>4.05</v>
      </c>
      <c r="F56" s="37">
        <v>43313</v>
      </c>
      <c r="G56" s="37">
        <v>46966</v>
      </c>
      <c r="H56" s="36" t="s">
        <v>176</v>
      </c>
      <c r="I56" s="40">
        <f>INDEX(CUSTOMERS!$H$2:$H$61,MATCH($B56,CUSTOMERS!$A$2:$A$61,0))</f>
        <v>36</v>
      </c>
      <c r="J56" s="40" t="str">
        <f>INDEX(BRANCHES!$B$2:$B$61,MATCH($I56,BRANCHES!$A$2:$A$61,0))</f>
        <v>Gateway Branch</v>
      </c>
    </row>
    <row r="57" spans="1:10" x14ac:dyDescent="0.3">
      <c r="A57" s="36">
        <v>256</v>
      </c>
      <c r="B57" s="36">
        <v>58</v>
      </c>
      <c r="C57" s="36" t="s">
        <v>239</v>
      </c>
      <c r="D57" s="39">
        <v>6000</v>
      </c>
      <c r="E57" s="41">
        <v>8.5</v>
      </c>
      <c r="F57" s="37">
        <v>44682</v>
      </c>
      <c r="G57" s="37">
        <v>45778</v>
      </c>
      <c r="H57" s="36" t="s">
        <v>176</v>
      </c>
      <c r="I57" s="40">
        <f>INDEX(CUSTOMERS!$H$2:$H$61,MATCH($B57,CUSTOMERS!$A$2:$A$61,0))</f>
        <v>37</v>
      </c>
      <c r="J57" s="40" t="str">
        <f>INDEX(BRANCHES!$B$2:$B$61,MATCH($I57,BRANCHES!$A$2:$A$61,0))</f>
        <v>Inner Harbor Branch</v>
      </c>
    </row>
    <row r="58" spans="1:10" x14ac:dyDescent="0.3">
      <c r="A58" s="36">
        <v>257</v>
      </c>
      <c r="B58" s="36">
        <v>59</v>
      </c>
      <c r="C58" s="36" t="s">
        <v>236</v>
      </c>
      <c r="D58" s="39">
        <v>195000</v>
      </c>
      <c r="E58" s="41">
        <v>3.65</v>
      </c>
      <c r="F58" s="37">
        <v>43770</v>
      </c>
      <c r="G58" s="37">
        <v>54728</v>
      </c>
      <c r="H58" s="36" t="s">
        <v>176</v>
      </c>
      <c r="I58" s="40">
        <f>INDEX(CUSTOMERS!$H$2:$H$61,MATCH($B58,CUSTOMERS!$A$2:$A$61,0))</f>
        <v>38</v>
      </c>
      <c r="J58" s="40" t="str">
        <f>INDEX(BRANCHES!$B$2:$B$61,MATCH($I58,BRANCHES!$A$2:$A$61,0))</f>
        <v>Research Branch</v>
      </c>
    </row>
    <row r="59" spans="1:10" x14ac:dyDescent="0.3">
      <c r="A59" s="36">
        <v>258</v>
      </c>
      <c r="B59" s="36">
        <v>60</v>
      </c>
      <c r="C59" s="36" t="s">
        <v>238</v>
      </c>
      <c r="D59" s="39">
        <v>14500</v>
      </c>
      <c r="E59" s="41">
        <v>5.9</v>
      </c>
      <c r="F59" s="37">
        <v>44531</v>
      </c>
      <c r="G59" s="37">
        <v>46357</v>
      </c>
      <c r="H59" s="36" t="s">
        <v>176</v>
      </c>
      <c r="I59" s="40">
        <f>INDEX(CUSTOMERS!$H$2:$H$61,MATCH($B59,CUSTOMERS!$A$2:$A$61,0))</f>
        <v>39</v>
      </c>
      <c r="J59" s="40" t="str">
        <f>INDEX(BRANCHES!$B$2:$B$61,MATCH($I59,BRANCHES!$A$2:$A$61,0))</f>
        <v>Uptown Branch</v>
      </c>
    </row>
    <row r="60" spans="1:10" x14ac:dyDescent="0.3">
      <c r="A60" s="36">
        <v>259</v>
      </c>
      <c r="B60" s="36">
        <v>7</v>
      </c>
      <c r="C60" s="36" t="s">
        <v>238</v>
      </c>
      <c r="D60" s="39">
        <v>12000</v>
      </c>
      <c r="E60" s="41">
        <v>6.1</v>
      </c>
      <c r="F60" s="37">
        <v>44927</v>
      </c>
      <c r="G60" s="37">
        <v>46753</v>
      </c>
      <c r="H60" s="36" t="s">
        <v>176</v>
      </c>
      <c r="I60" s="40">
        <f>INDEX(CUSTOMERS!$H$2:$H$61,MATCH($B60,CUSTOMERS!$A$2:$A$61,0))</f>
        <v>3</v>
      </c>
      <c r="J60" s="40" t="str">
        <f>INDEX(BRANCHES!$B$2:$B$61,MATCH($I60,BRANCHES!$A$2:$A$61,0))</f>
        <v>West Branch</v>
      </c>
    </row>
    <row r="61" spans="1:10" x14ac:dyDescent="0.3">
      <c r="A61" s="36">
        <v>260</v>
      </c>
      <c r="B61" s="36">
        <v>9</v>
      </c>
      <c r="C61" s="36" t="s">
        <v>239</v>
      </c>
      <c r="D61" s="39">
        <v>3500</v>
      </c>
      <c r="E61" s="41">
        <v>8.6999999999999993</v>
      </c>
      <c r="F61" s="37">
        <v>44958</v>
      </c>
      <c r="G61" s="37">
        <v>46054</v>
      </c>
      <c r="H61" s="36" t="s">
        <v>176</v>
      </c>
      <c r="I61" s="40">
        <f>INDEX(CUSTOMERS!$H$2:$H$61,MATCH($B61,CUSTOMERS!$A$2:$A$61,0))</f>
        <v>5</v>
      </c>
      <c r="J61" s="40" t="str">
        <f>INDEX(BRANCHES!$B$2:$B$61,MATCH($I61,BRANCHES!$A$2:$A$61,0))</f>
        <v>East Branch</v>
      </c>
    </row>
  </sheetData>
  <dataValidations count="1">
    <dataValidation type="list" allowBlank="1" errorTitle="Invalid" error="Value not in allowed set" prompt="Allowed: ACTIVE, PAID" sqref="H2:H61" xr:uid="{00000000-0002-0000-0E00-000000000000}">
      <formula1>"ACTIVE,PAID"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12" customWidth="1"/>
    <col min="3" max="3" width="11" customWidth="1"/>
    <col min="4" max="4" width="16" customWidth="1"/>
    <col min="5" max="6" width="11" customWidth="1"/>
    <col min="7" max="8" width="12" customWidth="1"/>
  </cols>
  <sheetData>
    <row r="1" spans="1:8" ht="24" customHeight="1" x14ac:dyDescent="0.3">
      <c r="A1" s="23" t="s">
        <v>301</v>
      </c>
      <c r="B1" s="23" t="s">
        <v>423</v>
      </c>
      <c r="C1" s="23" t="s">
        <v>424</v>
      </c>
      <c r="D1" s="23" t="s">
        <v>688</v>
      </c>
      <c r="E1" s="23" t="s">
        <v>689</v>
      </c>
      <c r="F1" s="23" t="s">
        <v>292</v>
      </c>
      <c r="G1" s="23" t="s">
        <v>690</v>
      </c>
      <c r="H1" s="23" t="s">
        <v>691</v>
      </c>
    </row>
    <row r="2" spans="1:8" x14ac:dyDescent="0.3">
      <c r="A2" s="36">
        <v>301</v>
      </c>
      <c r="B2" s="36" t="s">
        <v>692</v>
      </c>
      <c r="C2" s="36" t="s">
        <v>654</v>
      </c>
      <c r="D2" s="36" t="s">
        <v>693</v>
      </c>
      <c r="E2" s="42">
        <v>85000</v>
      </c>
      <c r="F2" s="36">
        <v>1</v>
      </c>
      <c r="G2" s="37">
        <v>42073</v>
      </c>
      <c r="H2" s="36"/>
    </row>
    <row r="3" spans="1:8" x14ac:dyDescent="0.3">
      <c r="A3" s="36">
        <v>302</v>
      </c>
      <c r="B3" s="36" t="s">
        <v>694</v>
      </c>
      <c r="C3" s="36" t="s">
        <v>476</v>
      </c>
      <c r="D3" s="36" t="s">
        <v>693</v>
      </c>
      <c r="E3" s="42">
        <v>80000</v>
      </c>
      <c r="F3" s="36">
        <v>2</v>
      </c>
      <c r="G3" s="37">
        <v>42552</v>
      </c>
      <c r="H3" s="36"/>
    </row>
    <row r="4" spans="1:8" x14ac:dyDescent="0.3">
      <c r="A4" s="36">
        <v>303</v>
      </c>
      <c r="B4" s="36" t="s">
        <v>695</v>
      </c>
      <c r="C4" s="36" t="s">
        <v>696</v>
      </c>
      <c r="D4" s="36" t="s">
        <v>693</v>
      </c>
      <c r="E4" s="42">
        <v>78000</v>
      </c>
      <c r="F4" s="36">
        <v>3</v>
      </c>
      <c r="G4" s="37">
        <v>42750</v>
      </c>
      <c r="H4" s="36"/>
    </row>
    <row r="5" spans="1:8" x14ac:dyDescent="0.3">
      <c r="A5" s="36">
        <v>304</v>
      </c>
      <c r="B5" s="36" t="s">
        <v>697</v>
      </c>
      <c r="C5" s="36" t="s">
        <v>557</v>
      </c>
      <c r="D5" s="36" t="s">
        <v>693</v>
      </c>
      <c r="E5" s="42">
        <v>82000</v>
      </c>
      <c r="F5" s="36">
        <v>4</v>
      </c>
      <c r="G5" s="37">
        <v>41902</v>
      </c>
      <c r="H5" s="36"/>
    </row>
    <row r="6" spans="1:8" x14ac:dyDescent="0.3">
      <c r="A6" s="36">
        <v>305</v>
      </c>
      <c r="B6" s="36" t="s">
        <v>698</v>
      </c>
      <c r="C6" s="36" t="s">
        <v>480</v>
      </c>
      <c r="D6" s="36" t="s">
        <v>693</v>
      </c>
      <c r="E6" s="42">
        <v>79000</v>
      </c>
      <c r="F6" s="36">
        <v>5</v>
      </c>
      <c r="G6" s="37">
        <v>42679</v>
      </c>
      <c r="H6" s="36"/>
    </row>
    <row r="7" spans="1:8" x14ac:dyDescent="0.3">
      <c r="A7" s="36">
        <v>306</v>
      </c>
      <c r="B7" s="36" t="s">
        <v>699</v>
      </c>
      <c r="C7" s="36" t="s">
        <v>472</v>
      </c>
      <c r="D7" s="36" t="s">
        <v>700</v>
      </c>
      <c r="E7" s="42">
        <v>55000</v>
      </c>
      <c r="F7" s="36">
        <v>1</v>
      </c>
      <c r="G7" s="37">
        <v>43159</v>
      </c>
      <c r="H7" s="36">
        <v>301</v>
      </c>
    </row>
    <row r="8" spans="1:8" x14ac:dyDescent="0.3">
      <c r="A8" s="36">
        <v>307</v>
      </c>
      <c r="B8" s="36" t="s">
        <v>701</v>
      </c>
      <c r="C8" s="36" t="s">
        <v>517</v>
      </c>
      <c r="D8" s="36" t="s">
        <v>702</v>
      </c>
      <c r="E8" s="42">
        <v>38000</v>
      </c>
      <c r="F8" s="36">
        <v>1</v>
      </c>
      <c r="G8" s="37">
        <v>43992</v>
      </c>
      <c r="H8" s="36">
        <v>301</v>
      </c>
    </row>
    <row r="9" spans="1:8" x14ac:dyDescent="0.3">
      <c r="A9" s="36">
        <v>308</v>
      </c>
      <c r="B9" s="36" t="s">
        <v>703</v>
      </c>
      <c r="C9" s="36" t="s">
        <v>444</v>
      </c>
      <c r="D9" s="36" t="s">
        <v>702</v>
      </c>
      <c r="E9" s="42">
        <v>37000</v>
      </c>
      <c r="F9" s="36">
        <v>2</v>
      </c>
      <c r="G9" s="37">
        <v>44270</v>
      </c>
      <c r="H9" s="36">
        <v>302</v>
      </c>
    </row>
    <row r="10" spans="1:8" x14ac:dyDescent="0.3">
      <c r="A10" s="36">
        <v>309</v>
      </c>
      <c r="B10" s="36" t="s">
        <v>704</v>
      </c>
      <c r="C10" s="36" t="s">
        <v>490</v>
      </c>
      <c r="D10" s="36" t="s">
        <v>700</v>
      </c>
      <c r="E10" s="42">
        <v>54000</v>
      </c>
      <c r="F10" s="36">
        <v>3</v>
      </c>
      <c r="G10" s="37">
        <v>43699</v>
      </c>
      <c r="H10" s="36">
        <v>303</v>
      </c>
    </row>
    <row r="11" spans="1:8" x14ac:dyDescent="0.3">
      <c r="A11" s="36">
        <v>310</v>
      </c>
      <c r="B11" s="36" t="s">
        <v>705</v>
      </c>
      <c r="C11" s="36" t="s">
        <v>506</v>
      </c>
      <c r="D11" s="36" t="s">
        <v>702</v>
      </c>
      <c r="E11" s="42">
        <v>36000</v>
      </c>
      <c r="F11" s="36">
        <v>4</v>
      </c>
      <c r="G11" s="37">
        <v>44571</v>
      </c>
      <c r="H11" s="36">
        <v>304</v>
      </c>
    </row>
    <row r="12" spans="1:8" x14ac:dyDescent="0.3">
      <c r="A12" s="36">
        <v>311</v>
      </c>
      <c r="B12" s="36" t="s">
        <v>706</v>
      </c>
      <c r="C12" s="36" t="s">
        <v>463</v>
      </c>
      <c r="D12" s="36" t="s">
        <v>693</v>
      </c>
      <c r="E12" s="42">
        <v>83000</v>
      </c>
      <c r="F12" s="36">
        <v>6</v>
      </c>
      <c r="G12" s="37">
        <v>42156</v>
      </c>
      <c r="H12" s="36"/>
    </row>
    <row r="13" spans="1:8" x14ac:dyDescent="0.3">
      <c r="A13" s="36">
        <v>312</v>
      </c>
      <c r="B13" s="36" t="s">
        <v>707</v>
      </c>
      <c r="C13" s="36" t="s">
        <v>708</v>
      </c>
      <c r="D13" s="36" t="s">
        <v>693</v>
      </c>
      <c r="E13" s="42">
        <v>81000</v>
      </c>
      <c r="F13" s="36">
        <v>7</v>
      </c>
      <c r="G13" s="37">
        <v>42444</v>
      </c>
      <c r="H13" s="36"/>
    </row>
    <row r="14" spans="1:8" x14ac:dyDescent="0.3">
      <c r="A14" s="36">
        <v>313</v>
      </c>
      <c r="B14" s="36" t="s">
        <v>709</v>
      </c>
      <c r="C14" s="36" t="s">
        <v>643</v>
      </c>
      <c r="D14" s="36" t="s">
        <v>693</v>
      </c>
      <c r="E14" s="42">
        <v>79000</v>
      </c>
      <c r="F14" s="36">
        <v>8</v>
      </c>
      <c r="G14" s="37">
        <v>42979</v>
      </c>
      <c r="H14" s="36"/>
    </row>
    <row r="15" spans="1:8" x14ac:dyDescent="0.3">
      <c r="A15" s="36">
        <v>314</v>
      </c>
      <c r="B15" s="36" t="s">
        <v>710</v>
      </c>
      <c r="C15" s="36" t="s">
        <v>711</v>
      </c>
      <c r="D15" s="36" t="s">
        <v>693</v>
      </c>
      <c r="E15" s="42">
        <v>84000</v>
      </c>
      <c r="F15" s="36">
        <v>9</v>
      </c>
      <c r="G15" s="37">
        <v>41963</v>
      </c>
      <c r="H15" s="36"/>
    </row>
    <row r="16" spans="1:8" x14ac:dyDescent="0.3">
      <c r="A16" s="36">
        <v>315</v>
      </c>
      <c r="B16" s="36" t="s">
        <v>712</v>
      </c>
      <c r="C16" s="36" t="s">
        <v>713</v>
      </c>
      <c r="D16" s="36" t="s">
        <v>693</v>
      </c>
      <c r="E16" s="42">
        <v>80000</v>
      </c>
      <c r="F16" s="36">
        <v>10</v>
      </c>
      <c r="G16" s="37">
        <v>42561</v>
      </c>
      <c r="H16" s="36"/>
    </row>
    <row r="17" spans="1:8" x14ac:dyDescent="0.3">
      <c r="A17" s="36">
        <v>316</v>
      </c>
      <c r="B17" s="36" t="s">
        <v>714</v>
      </c>
      <c r="C17" s="36" t="s">
        <v>658</v>
      </c>
      <c r="D17" s="36" t="s">
        <v>693</v>
      </c>
      <c r="E17" s="42">
        <v>86000</v>
      </c>
      <c r="F17" s="36">
        <v>11</v>
      </c>
      <c r="G17" s="37">
        <v>42009</v>
      </c>
      <c r="H17" s="36"/>
    </row>
    <row r="18" spans="1:8" x14ac:dyDescent="0.3">
      <c r="A18" s="36">
        <v>317</v>
      </c>
      <c r="B18" s="36" t="s">
        <v>715</v>
      </c>
      <c r="C18" s="36" t="s">
        <v>716</v>
      </c>
      <c r="D18" s="36" t="s">
        <v>693</v>
      </c>
      <c r="E18" s="42">
        <v>78000</v>
      </c>
      <c r="F18" s="36">
        <v>12</v>
      </c>
      <c r="G18" s="37">
        <v>42845</v>
      </c>
      <c r="H18" s="36"/>
    </row>
    <row r="19" spans="1:8" x14ac:dyDescent="0.3">
      <c r="A19" s="36">
        <v>318</v>
      </c>
      <c r="B19" s="36" t="s">
        <v>717</v>
      </c>
      <c r="C19" s="36" t="s">
        <v>718</v>
      </c>
      <c r="D19" s="36" t="s">
        <v>693</v>
      </c>
      <c r="E19" s="42">
        <v>82000</v>
      </c>
      <c r="F19" s="36">
        <v>13</v>
      </c>
      <c r="G19" s="37">
        <v>41866</v>
      </c>
      <c r="H19" s="36"/>
    </row>
    <row r="20" spans="1:8" x14ac:dyDescent="0.3">
      <c r="A20" s="36">
        <v>319</v>
      </c>
      <c r="B20" s="36" t="s">
        <v>719</v>
      </c>
      <c r="C20" s="36" t="s">
        <v>720</v>
      </c>
      <c r="D20" s="36" t="s">
        <v>693</v>
      </c>
      <c r="E20" s="42">
        <v>77000</v>
      </c>
      <c r="F20" s="36">
        <v>14</v>
      </c>
      <c r="G20" s="37">
        <v>43132</v>
      </c>
      <c r="H20" s="36"/>
    </row>
    <row r="21" spans="1:8" x14ac:dyDescent="0.3">
      <c r="A21" s="36">
        <v>320</v>
      </c>
      <c r="B21" s="36" t="s">
        <v>721</v>
      </c>
      <c r="C21" s="36" t="s">
        <v>722</v>
      </c>
      <c r="D21" s="36" t="s">
        <v>693</v>
      </c>
      <c r="E21" s="42">
        <v>80000</v>
      </c>
      <c r="F21" s="36">
        <v>15</v>
      </c>
      <c r="G21" s="37">
        <v>42653</v>
      </c>
      <c r="H21" s="36"/>
    </row>
    <row r="22" spans="1:8" x14ac:dyDescent="0.3">
      <c r="A22" s="36">
        <v>321</v>
      </c>
      <c r="B22" s="36" t="s">
        <v>723</v>
      </c>
      <c r="C22" s="36" t="s">
        <v>724</v>
      </c>
      <c r="D22" s="36" t="s">
        <v>700</v>
      </c>
      <c r="E22" s="42">
        <v>56000</v>
      </c>
      <c r="F22" s="36">
        <v>2</v>
      </c>
      <c r="G22" s="37">
        <v>43235</v>
      </c>
      <c r="H22" s="36">
        <v>302</v>
      </c>
    </row>
    <row r="23" spans="1:8" x14ac:dyDescent="0.3">
      <c r="A23" s="36">
        <v>322</v>
      </c>
      <c r="B23" s="36" t="s">
        <v>725</v>
      </c>
      <c r="C23" s="36" t="s">
        <v>726</v>
      </c>
      <c r="D23" s="36" t="s">
        <v>702</v>
      </c>
      <c r="E23" s="42">
        <v>37500</v>
      </c>
      <c r="F23" s="36">
        <v>3</v>
      </c>
      <c r="G23" s="37">
        <v>44216</v>
      </c>
      <c r="H23" s="36">
        <v>303</v>
      </c>
    </row>
    <row r="24" spans="1:8" x14ac:dyDescent="0.3">
      <c r="A24" s="36">
        <v>323</v>
      </c>
      <c r="B24" s="36" t="s">
        <v>727</v>
      </c>
      <c r="C24" s="36" t="s">
        <v>728</v>
      </c>
      <c r="D24" s="36" t="s">
        <v>700</v>
      </c>
      <c r="E24" s="42">
        <v>55000</v>
      </c>
      <c r="F24" s="36">
        <v>4</v>
      </c>
      <c r="G24" s="37">
        <v>43626</v>
      </c>
      <c r="H24" s="36">
        <v>304</v>
      </c>
    </row>
    <row r="25" spans="1:8" x14ac:dyDescent="0.3">
      <c r="A25" s="36">
        <v>324</v>
      </c>
      <c r="B25" s="36" t="s">
        <v>729</v>
      </c>
      <c r="C25" s="36" t="s">
        <v>730</v>
      </c>
      <c r="D25" s="36" t="s">
        <v>702</v>
      </c>
      <c r="E25" s="42">
        <v>36500</v>
      </c>
      <c r="F25" s="36">
        <v>5</v>
      </c>
      <c r="G25" s="37">
        <v>44625</v>
      </c>
      <c r="H25" s="36">
        <v>305</v>
      </c>
    </row>
    <row r="26" spans="1:8" x14ac:dyDescent="0.3">
      <c r="A26" s="36">
        <v>325</v>
      </c>
      <c r="B26" s="36" t="s">
        <v>731</v>
      </c>
      <c r="C26" s="36" t="s">
        <v>732</v>
      </c>
      <c r="D26" s="36" t="s">
        <v>700</v>
      </c>
      <c r="E26" s="42">
        <v>54500</v>
      </c>
      <c r="F26" s="36">
        <v>6</v>
      </c>
      <c r="G26" s="37">
        <v>44075</v>
      </c>
      <c r="H26" s="36">
        <v>311</v>
      </c>
    </row>
    <row r="27" spans="1:8" x14ac:dyDescent="0.3">
      <c r="A27" s="36">
        <v>326</v>
      </c>
      <c r="B27" s="36" t="s">
        <v>733</v>
      </c>
      <c r="C27" s="36" t="s">
        <v>734</v>
      </c>
      <c r="D27" s="36" t="s">
        <v>693</v>
      </c>
      <c r="E27" s="42">
        <v>81000</v>
      </c>
      <c r="F27" s="36">
        <v>16</v>
      </c>
      <c r="G27" s="37">
        <v>42217</v>
      </c>
      <c r="H27" s="36"/>
    </row>
    <row r="28" spans="1:8" x14ac:dyDescent="0.3">
      <c r="A28" s="36">
        <v>327</v>
      </c>
      <c r="B28" s="36" t="s">
        <v>735</v>
      </c>
      <c r="C28" s="36" t="s">
        <v>736</v>
      </c>
      <c r="D28" s="36" t="s">
        <v>693</v>
      </c>
      <c r="E28" s="42">
        <v>79000</v>
      </c>
      <c r="F28" s="36">
        <v>17</v>
      </c>
      <c r="G28" s="37">
        <v>42475</v>
      </c>
      <c r="H28" s="36"/>
    </row>
    <row r="29" spans="1:8" x14ac:dyDescent="0.3">
      <c r="A29" s="36">
        <v>328</v>
      </c>
      <c r="B29" s="36" t="s">
        <v>737</v>
      </c>
      <c r="C29" s="36" t="s">
        <v>738</v>
      </c>
      <c r="D29" s="36" t="s">
        <v>693</v>
      </c>
      <c r="E29" s="42">
        <v>83000</v>
      </c>
      <c r="F29" s="36">
        <v>18</v>
      </c>
      <c r="G29" s="37">
        <v>42917</v>
      </c>
      <c r="H29" s="36"/>
    </row>
    <row r="30" spans="1:8" x14ac:dyDescent="0.3">
      <c r="A30" s="36">
        <v>329</v>
      </c>
      <c r="B30" s="36" t="s">
        <v>739</v>
      </c>
      <c r="C30" s="36" t="s">
        <v>611</v>
      </c>
      <c r="D30" s="36" t="s">
        <v>693</v>
      </c>
      <c r="E30" s="42">
        <v>80000</v>
      </c>
      <c r="F30" s="36">
        <v>19</v>
      </c>
      <c r="G30" s="37">
        <v>41983</v>
      </c>
      <c r="H30" s="36"/>
    </row>
    <row r="31" spans="1:8" x14ac:dyDescent="0.3">
      <c r="A31" s="36">
        <v>330</v>
      </c>
      <c r="B31" s="36" t="s">
        <v>740</v>
      </c>
      <c r="C31" s="36" t="s">
        <v>583</v>
      </c>
      <c r="D31" s="36" t="s">
        <v>693</v>
      </c>
      <c r="E31" s="42">
        <v>82000</v>
      </c>
      <c r="F31" s="36">
        <v>20</v>
      </c>
      <c r="G31" s="37">
        <v>42633</v>
      </c>
      <c r="H31" s="36"/>
    </row>
    <row r="32" spans="1:8" x14ac:dyDescent="0.3">
      <c r="A32" s="36">
        <v>331</v>
      </c>
      <c r="B32" s="36" t="s">
        <v>741</v>
      </c>
      <c r="C32" s="36" t="s">
        <v>595</v>
      </c>
      <c r="D32" s="36" t="s">
        <v>693</v>
      </c>
      <c r="E32" s="42">
        <v>84000</v>
      </c>
      <c r="F32" s="36">
        <v>21</v>
      </c>
      <c r="G32" s="37">
        <v>42064</v>
      </c>
      <c r="H32" s="36"/>
    </row>
    <row r="33" spans="1:8" x14ac:dyDescent="0.3">
      <c r="A33" s="36">
        <v>332</v>
      </c>
      <c r="B33" s="36" t="s">
        <v>742</v>
      </c>
      <c r="C33" s="36" t="s">
        <v>619</v>
      </c>
      <c r="D33" s="36" t="s">
        <v>693</v>
      </c>
      <c r="E33" s="42">
        <v>78000</v>
      </c>
      <c r="F33" s="36">
        <v>22</v>
      </c>
      <c r="G33" s="37">
        <v>43054</v>
      </c>
      <c r="H33" s="36"/>
    </row>
    <row r="34" spans="1:8" x14ac:dyDescent="0.3">
      <c r="A34" s="36">
        <v>333</v>
      </c>
      <c r="B34" s="36" t="s">
        <v>743</v>
      </c>
      <c r="C34" s="36" t="s">
        <v>744</v>
      </c>
      <c r="D34" s="36" t="s">
        <v>693</v>
      </c>
      <c r="E34" s="42">
        <v>85000</v>
      </c>
      <c r="F34" s="36">
        <v>23</v>
      </c>
      <c r="G34" s="37">
        <v>41815</v>
      </c>
      <c r="H34" s="36"/>
    </row>
    <row r="35" spans="1:8" x14ac:dyDescent="0.3">
      <c r="A35" s="36">
        <v>334</v>
      </c>
      <c r="B35" s="36" t="s">
        <v>745</v>
      </c>
      <c r="C35" s="36" t="s">
        <v>746</v>
      </c>
      <c r="D35" s="36" t="s">
        <v>693</v>
      </c>
      <c r="E35" s="42">
        <v>79000</v>
      </c>
      <c r="F35" s="36">
        <v>24</v>
      </c>
      <c r="G35" s="37">
        <v>42410</v>
      </c>
      <c r="H35" s="36"/>
    </row>
    <row r="36" spans="1:8" x14ac:dyDescent="0.3">
      <c r="A36" s="36">
        <v>335</v>
      </c>
      <c r="B36" s="36" t="s">
        <v>747</v>
      </c>
      <c r="C36" s="36" t="s">
        <v>748</v>
      </c>
      <c r="D36" s="36" t="s">
        <v>693</v>
      </c>
      <c r="E36" s="42">
        <v>83000</v>
      </c>
      <c r="F36" s="36">
        <v>25</v>
      </c>
      <c r="G36" s="37">
        <v>42282</v>
      </c>
      <c r="H36" s="36"/>
    </row>
    <row r="37" spans="1:8" x14ac:dyDescent="0.3">
      <c r="A37" s="36">
        <v>336</v>
      </c>
      <c r="B37" s="36" t="s">
        <v>749</v>
      </c>
      <c r="C37" s="36" t="s">
        <v>750</v>
      </c>
      <c r="D37" s="36" t="s">
        <v>700</v>
      </c>
      <c r="E37" s="42">
        <v>55500</v>
      </c>
      <c r="F37" s="36">
        <v>7</v>
      </c>
      <c r="G37" s="37">
        <v>43534</v>
      </c>
      <c r="H37" s="36">
        <v>312</v>
      </c>
    </row>
    <row r="38" spans="1:8" x14ac:dyDescent="0.3">
      <c r="A38" s="36">
        <v>337</v>
      </c>
      <c r="B38" s="36" t="s">
        <v>751</v>
      </c>
      <c r="C38" s="36" t="s">
        <v>752</v>
      </c>
      <c r="D38" s="36" t="s">
        <v>702</v>
      </c>
      <c r="E38" s="42">
        <v>37000</v>
      </c>
      <c r="F38" s="36">
        <v>8</v>
      </c>
      <c r="G38" s="37">
        <v>44140</v>
      </c>
      <c r="H38" s="36">
        <v>313</v>
      </c>
    </row>
    <row r="39" spans="1:8" x14ac:dyDescent="0.3">
      <c r="A39" s="36">
        <v>338</v>
      </c>
      <c r="B39" s="36" t="s">
        <v>753</v>
      </c>
      <c r="C39" s="36" t="s">
        <v>754</v>
      </c>
      <c r="D39" s="36" t="s">
        <v>700</v>
      </c>
      <c r="E39" s="42">
        <v>54000</v>
      </c>
      <c r="F39" s="36">
        <v>9</v>
      </c>
      <c r="G39" s="37">
        <v>43332</v>
      </c>
      <c r="H39" s="36">
        <v>314</v>
      </c>
    </row>
    <row r="40" spans="1:8" x14ac:dyDescent="0.3">
      <c r="A40" s="36">
        <v>339</v>
      </c>
      <c r="B40" s="36" t="s">
        <v>755</v>
      </c>
      <c r="C40" s="36" t="s">
        <v>756</v>
      </c>
      <c r="D40" s="36" t="s">
        <v>702</v>
      </c>
      <c r="E40" s="42">
        <v>36500</v>
      </c>
      <c r="F40" s="36">
        <v>10</v>
      </c>
      <c r="G40" s="37">
        <v>44301</v>
      </c>
      <c r="H40" s="36">
        <v>315</v>
      </c>
    </row>
    <row r="41" spans="1:8" x14ac:dyDescent="0.3">
      <c r="A41" s="36">
        <v>340</v>
      </c>
      <c r="B41" s="36" t="s">
        <v>757</v>
      </c>
      <c r="C41" s="36" t="s">
        <v>599</v>
      </c>
      <c r="D41" s="36" t="s">
        <v>700</v>
      </c>
      <c r="E41" s="42">
        <v>56000</v>
      </c>
      <c r="F41" s="36">
        <v>11</v>
      </c>
      <c r="G41" s="37">
        <v>43490</v>
      </c>
      <c r="H41" s="36">
        <v>316</v>
      </c>
    </row>
    <row r="42" spans="1:8" x14ac:dyDescent="0.3">
      <c r="A42" s="36">
        <v>341</v>
      </c>
      <c r="B42" s="36" t="s">
        <v>758</v>
      </c>
      <c r="C42" s="36" t="s">
        <v>711</v>
      </c>
      <c r="D42" s="36" t="s">
        <v>702</v>
      </c>
      <c r="E42" s="42">
        <v>37500</v>
      </c>
      <c r="F42" s="36">
        <v>12</v>
      </c>
      <c r="G42" s="37">
        <v>44620</v>
      </c>
      <c r="H42" s="36">
        <v>317</v>
      </c>
    </row>
    <row r="43" spans="1:8" x14ac:dyDescent="0.3">
      <c r="A43" s="36">
        <v>342</v>
      </c>
      <c r="B43" s="36" t="s">
        <v>759</v>
      </c>
      <c r="C43" s="36" t="s">
        <v>572</v>
      </c>
      <c r="D43" s="36" t="s">
        <v>700</v>
      </c>
      <c r="E43" s="42">
        <v>55000</v>
      </c>
      <c r="F43" s="36">
        <v>13</v>
      </c>
      <c r="G43" s="37">
        <v>44022</v>
      </c>
      <c r="H43" s="36">
        <v>318</v>
      </c>
    </row>
    <row r="44" spans="1:8" x14ac:dyDescent="0.3">
      <c r="A44" s="36">
        <v>343</v>
      </c>
      <c r="B44" s="36" t="s">
        <v>760</v>
      </c>
      <c r="C44" s="36" t="s">
        <v>761</v>
      </c>
      <c r="D44" s="36" t="s">
        <v>702</v>
      </c>
      <c r="E44" s="42">
        <v>36000</v>
      </c>
      <c r="F44" s="36">
        <v>14</v>
      </c>
      <c r="G44" s="37">
        <v>44440</v>
      </c>
      <c r="H44" s="36">
        <v>319</v>
      </c>
    </row>
    <row r="45" spans="1:8" x14ac:dyDescent="0.3">
      <c r="A45" s="36">
        <v>344</v>
      </c>
      <c r="B45" s="36" t="s">
        <v>762</v>
      </c>
      <c r="C45" s="36" t="s">
        <v>763</v>
      </c>
      <c r="D45" s="36" t="s">
        <v>700</v>
      </c>
      <c r="E45" s="42">
        <v>54500</v>
      </c>
      <c r="F45" s="36">
        <v>15</v>
      </c>
      <c r="G45" s="37">
        <v>43605</v>
      </c>
      <c r="H45" s="36">
        <v>320</v>
      </c>
    </row>
    <row r="46" spans="1:8" x14ac:dyDescent="0.3">
      <c r="A46" s="36">
        <v>345</v>
      </c>
      <c r="B46" s="36" t="s">
        <v>764</v>
      </c>
      <c r="C46" s="36" t="s">
        <v>463</v>
      </c>
      <c r="D46" s="36" t="s">
        <v>702</v>
      </c>
      <c r="E46" s="42">
        <v>37000</v>
      </c>
      <c r="F46" s="36">
        <v>16</v>
      </c>
      <c r="G46" s="37">
        <v>44576</v>
      </c>
      <c r="H46" s="36">
        <v>326</v>
      </c>
    </row>
    <row r="47" spans="1:8" x14ac:dyDescent="0.3">
      <c r="A47" s="36">
        <v>346</v>
      </c>
      <c r="B47" s="36" t="s">
        <v>765</v>
      </c>
      <c r="C47" s="36" t="s">
        <v>766</v>
      </c>
      <c r="D47" s="36" t="s">
        <v>700</v>
      </c>
      <c r="E47" s="42">
        <v>55500</v>
      </c>
      <c r="F47" s="36">
        <v>17</v>
      </c>
      <c r="G47" s="37">
        <v>43403</v>
      </c>
      <c r="H47" s="36">
        <v>327</v>
      </c>
    </row>
    <row r="48" spans="1:8" x14ac:dyDescent="0.3">
      <c r="A48" s="36">
        <v>347</v>
      </c>
      <c r="B48" s="36" t="s">
        <v>767</v>
      </c>
      <c r="C48" s="36" t="s">
        <v>734</v>
      </c>
      <c r="D48" s="36" t="s">
        <v>702</v>
      </c>
      <c r="E48" s="42">
        <v>36500</v>
      </c>
      <c r="F48" s="36">
        <v>18</v>
      </c>
      <c r="G48" s="37">
        <v>44367</v>
      </c>
      <c r="H48" s="36">
        <v>328</v>
      </c>
    </row>
    <row r="49" spans="1:8" x14ac:dyDescent="0.3">
      <c r="A49" s="36">
        <v>348</v>
      </c>
      <c r="B49" s="36" t="s">
        <v>768</v>
      </c>
      <c r="C49" s="36" t="s">
        <v>769</v>
      </c>
      <c r="D49" s="36" t="s">
        <v>700</v>
      </c>
      <c r="E49" s="42">
        <v>54000</v>
      </c>
      <c r="F49" s="36">
        <v>19</v>
      </c>
      <c r="G49" s="37">
        <v>43713</v>
      </c>
      <c r="H49" s="36">
        <v>329</v>
      </c>
    </row>
    <row r="50" spans="1:8" x14ac:dyDescent="0.3">
      <c r="A50" s="36">
        <v>349</v>
      </c>
      <c r="B50" s="36" t="s">
        <v>770</v>
      </c>
      <c r="C50" s="36" t="s">
        <v>771</v>
      </c>
      <c r="D50" s="36" t="s">
        <v>702</v>
      </c>
      <c r="E50" s="42">
        <v>37000</v>
      </c>
      <c r="F50" s="36">
        <v>20</v>
      </c>
      <c r="G50" s="37">
        <v>43905</v>
      </c>
      <c r="H50" s="36">
        <v>330</v>
      </c>
    </row>
    <row r="51" spans="1:8" x14ac:dyDescent="0.3">
      <c r="A51" s="36">
        <v>350</v>
      </c>
      <c r="B51" s="36" t="s">
        <v>772</v>
      </c>
      <c r="C51" s="36" t="s">
        <v>711</v>
      </c>
      <c r="D51" s="36" t="s">
        <v>700</v>
      </c>
      <c r="E51" s="42">
        <v>55000</v>
      </c>
      <c r="F51" s="36">
        <v>21</v>
      </c>
      <c r="G51" s="37">
        <v>43435</v>
      </c>
      <c r="H51" s="36">
        <v>331</v>
      </c>
    </row>
    <row r="52" spans="1:8" x14ac:dyDescent="0.3">
      <c r="A52" s="36">
        <v>351</v>
      </c>
      <c r="B52" s="36" t="s">
        <v>773</v>
      </c>
      <c r="C52" s="36" t="s">
        <v>623</v>
      </c>
      <c r="D52" s="36" t="s">
        <v>702</v>
      </c>
      <c r="E52" s="42">
        <v>37500</v>
      </c>
      <c r="F52" s="36">
        <v>22</v>
      </c>
      <c r="G52" s="37">
        <v>44691</v>
      </c>
      <c r="H52" s="36">
        <v>332</v>
      </c>
    </row>
    <row r="53" spans="1:8" x14ac:dyDescent="0.3">
      <c r="A53" s="36">
        <v>352</v>
      </c>
      <c r="B53" s="36" t="s">
        <v>774</v>
      </c>
      <c r="C53" s="36" t="s">
        <v>775</v>
      </c>
      <c r="D53" s="36" t="s">
        <v>700</v>
      </c>
      <c r="E53" s="42">
        <v>54500</v>
      </c>
      <c r="F53" s="36">
        <v>23</v>
      </c>
      <c r="G53" s="37">
        <v>43671</v>
      </c>
      <c r="H53" s="36">
        <v>333</v>
      </c>
    </row>
    <row r="54" spans="1:8" x14ac:dyDescent="0.3">
      <c r="A54" s="36">
        <v>353</v>
      </c>
      <c r="B54" s="36" t="s">
        <v>776</v>
      </c>
      <c r="C54" s="36" t="s">
        <v>777</v>
      </c>
      <c r="D54" s="36" t="s">
        <v>702</v>
      </c>
      <c r="E54" s="42">
        <v>36000</v>
      </c>
      <c r="F54" s="36">
        <v>24</v>
      </c>
      <c r="G54" s="37">
        <v>44216</v>
      </c>
      <c r="H54" s="36">
        <v>334</v>
      </c>
    </row>
    <row r="55" spans="1:8" x14ac:dyDescent="0.3">
      <c r="A55" s="36">
        <v>354</v>
      </c>
      <c r="B55" s="36" t="s">
        <v>778</v>
      </c>
      <c r="C55" s="36" t="s">
        <v>750</v>
      </c>
      <c r="D55" s="36" t="s">
        <v>700</v>
      </c>
      <c r="E55" s="42">
        <v>55000</v>
      </c>
      <c r="F55" s="36">
        <v>25</v>
      </c>
      <c r="G55" s="37">
        <v>43931</v>
      </c>
      <c r="H55" s="36">
        <v>335</v>
      </c>
    </row>
    <row r="56" spans="1:8" x14ac:dyDescent="0.3">
      <c r="A56" s="36">
        <v>355</v>
      </c>
      <c r="B56" s="36" t="s">
        <v>779</v>
      </c>
      <c r="C56" s="36" t="s">
        <v>541</v>
      </c>
      <c r="D56" s="36" t="s">
        <v>702</v>
      </c>
      <c r="E56" s="42">
        <v>37000</v>
      </c>
      <c r="F56" s="36">
        <v>1</v>
      </c>
      <c r="G56" s="37">
        <v>44757</v>
      </c>
      <c r="H56" s="36">
        <v>301</v>
      </c>
    </row>
    <row r="57" spans="1:8" x14ac:dyDescent="0.3">
      <c r="A57" s="36">
        <v>356</v>
      </c>
      <c r="B57" s="36" t="s">
        <v>780</v>
      </c>
      <c r="C57" s="36" t="s">
        <v>781</v>
      </c>
      <c r="D57" s="36" t="s">
        <v>700</v>
      </c>
      <c r="E57" s="42">
        <v>54500</v>
      </c>
      <c r="F57" s="36">
        <v>2</v>
      </c>
      <c r="G57" s="37">
        <v>43789</v>
      </c>
      <c r="H57" s="36">
        <v>302</v>
      </c>
    </row>
    <row r="58" spans="1:8" x14ac:dyDescent="0.3">
      <c r="A58" s="36">
        <v>357</v>
      </c>
      <c r="B58" s="36" t="s">
        <v>782</v>
      </c>
      <c r="C58" s="36" t="s">
        <v>783</v>
      </c>
      <c r="D58" s="36" t="s">
        <v>702</v>
      </c>
      <c r="E58" s="42">
        <v>36500</v>
      </c>
      <c r="F58" s="36">
        <v>3</v>
      </c>
      <c r="G58" s="37">
        <v>44413</v>
      </c>
      <c r="H58" s="36">
        <v>303</v>
      </c>
    </row>
    <row r="59" spans="1:8" x14ac:dyDescent="0.3">
      <c r="A59" s="36">
        <v>358</v>
      </c>
      <c r="B59" s="36" t="s">
        <v>784</v>
      </c>
      <c r="C59" s="36" t="s">
        <v>785</v>
      </c>
      <c r="D59" s="36" t="s">
        <v>700</v>
      </c>
      <c r="E59" s="42">
        <v>55500</v>
      </c>
      <c r="F59" s="36">
        <v>4</v>
      </c>
      <c r="G59" s="37">
        <v>43266</v>
      </c>
      <c r="H59" s="36">
        <v>304</v>
      </c>
    </row>
    <row r="60" spans="1:8" x14ac:dyDescent="0.3">
      <c r="A60" s="36">
        <v>359</v>
      </c>
      <c r="B60" s="36" t="s">
        <v>786</v>
      </c>
      <c r="C60" s="36" t="s">
        <v>787</v>
      </c>
      <c r="D60" s="36" t="s">
        <v>702</v>
      </c>
      <c r="E60" s="42">
        <v>37000</v>
      </c>
      <c r="F60" s="36">
        <v>5</v>
      </c>
      <c r="G60" s="37">
        <v>44640</v>
      </c>
      <c r="H60" s="36">
        <v>305</v>
      </c>
    </row>
    <row r="61" spans="1:8" x14ac:dyDescent="0.3">
      <c r="A61" s="36">
        <v>360</v>
      </c>
      <c r="B61" s="36" t="s">
        <v>788</v>
      </c>
      <c r="C61" s="36" t="s">
        <v>587</v>
      </c>
      <c r="D61" s="36" t="s">
        <v>700</v>
      </c>
      <c r="E61" s="42">
        <v>54000</v>
      </c>
      <c r="F61" s="36">
        <v>6</v>
      </c>
      <c r="G61" s="37">
        <v>44053</v>
      </c>
      <c r="H61" s="36">
        <v>311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12" customWidth="1"/>
    <col min="3" max="3" width="11" customWidth="1"/>
    <col min="4" max="4" width="21" customWidth="1"/>
    <col min="5" max="5" width="13" customWidth="1"/>
    <col min="6" max="6" width="11" customWidth="1"/>
    <col min="7" max="7" width="14" customWidth="1"/>
    <col min="8" max="8" width="13" customWidth="1"/>
  </cols>
  <sheetData>
    <row r="1" spans="1:8" ht="24" customHeight="1" x14ac:dyDescent="0.3">
      <c r="A1" s="23" t="s">
        <v>303</v>
      </c>
      <c r="B1" s="23" t="s">
        <v>296</v>
      </c>
      <c r="C1" s="23" t="s">
        <v>789</v>
      </c>
      <c r="D1" s="23" t="s">
        <v>790</v>
      </c>
      <c r="E1" s="23" t="s">
        <v>791</v>
      </c>
      <c r="F1" s="23" t="s">
        <v>664</v>
      </c>
      <c r="G1" s="23" t="s">
        <v>792</v>
      </c>
      <c r="H1" s="23" t="s">
        <v>793</v>
      </c>
    </row>
    <row r="2" spans="1:8" x14ac:dyDescent="0.3">
      <c r="A2" s="36">
        <v>1</v>
      </c>
      <c r="B2" s="36">
        <v>101</v>
      </c>
      <c r="C2" s="36" t="s">
        <v>248</v>
      </c>
      <c r="D2" s="36" t="s">
        <v>794</v>
      </c>
      <c r="E2" s="37">
        <v>46388</v>
      </c>
      <c r="F2" s="36" t="s">
        <v>176</v>
      </c>
      <c r="G2" s="39"/>
      <c r="H2" s="37">
        <v>44576</v>
      </c>
    </row>
    <row r="3" spans="1:8" x14ac:dyDescent="0.3">
      <c r="A3" s="36">
        <v>2</v>
      </c>
      <c r="B3" s="36">
        <v>102</v>
      </c>
      <c r="C3" s="36" t="s">
        <v>249</v>
      </c>
      <c r="D3" s="36" t="s">
        <v>795</v>
      </c>
      <c r="E3" s="37">
        <v>46174</v>
      </c>
      <c r="F3" s="36" t="s">
        <v>176</v>
      </c>
      <c r="G3" s="39">
        <v>5000</v>
      </c>
      <c r="H3" s="37">
        <v>43891</v>
      </c>
    </row>
    <row r="4" spans="1:8" x14ac:dyDescent="0.3">
      <c r="A4" s="36">
        <v>3</v>
      </c>
      <c r="B4" s="36">
        <v>103</v>
      </c>
      <c r="C4" s="36" t="s">
        <v>248</v>
      </c>
      <c r="D4" s="36" t="s">
        <v>796</v>
      </c>
      <c r="E4" s="37">
        <v>45901</v>
      </c>
      <c r="F4" s="36" t="s">
        <v>176</v>
      </c>
      <c r="G4" s="39"/>
      <c r="H4" s="37">
        <v>43546</v>
      </c>
    </row>
    <row r="5" spans="1:8" x14ac:dyDescent="0.3">
      <c r="A5" s="36">
        <v>4</v>
      </c>
      <c r="B5" s="36">
        <v>104</v>
      </c>
      <c r="C5" s="36" t="s">
        <v>248</v>
      </c>
      <c r="D5" s="36" t="s">
        <v>797</v>
      </c>
      <c r="E5" s="37">
        <v>46204</v>
      </c>
      <c r="F5" s="36" t="s">
        <v>176</v>
      </c>
      <c r="G5" s="39"/>
      <c r="H5" s="37">
        <v>44387</v>
      </c>
    </row>
    <row r="6" spans="1:8" x14ac:dyDescent="0.3">
      <c r="A6" s="36">
        <v>5</v>
      </c>
      <c r="B6" s="36">
        <v>105</v>
      </c>
      <c r="C6" s="36" t="s">
        <v>249</v>
      </c>
      <c r="D6" s="36" t="s">
        <v>798</v>
      </c>
      <c r="E6" s="37">
        <v>46447</v>
      </c>
      <c r="F6" s="36" t="s">
        <v>176</v>
      </c>
      <c r="G6" s="39">
        <v>20000</v>
      </c>
      <c r="H6" s="37">
        <v>43409</v>
      </c>
    </row>
    <row r="7" spans="1:8" x14ac:dyDescent="0.3">
      <c r="A7" s="36">
        <v>6</v>
      </c>
      <c r="B7" s="36">
        <v>105</v>
      </c>
      <c r="C7" s="36" t="s">
        <v>248</v>
      </c>
      <c r="D7" s="36" t="s">
        <v>799</v>
      </c>
      <c r="E7" s="37">
        <v>46327</v>
      </c>
      <c r="F7" s="36" t="s">
        <v>176</v>
      </c>
      <c r="G7" s="39"/>
      <c r="H7" s="37">
        <v>43409</v>
      </c>
    </row>
    <row r="8" spans="1:8" x14ac:dyDescent="0.3">
      <c r="A8" s="36">
        <v>7</v>
      </c>
      <c r="B8" s="36">
        <v>107</v>
      </c>
      <c r="C8" s="36" t="s">
        <v>249</v>
      </c>
      <c r="D8" s="36" t="s">
        <v>800</v>
      </c>
      <c r="E8" s="37">
        <v>45992</v>
      </c>
      <c r="F8" s="36" t="s">
        <v>176</v>
      </c>
      <c r="G8" s="39">
        <v>10000</v>
      </c>
      <c r="H8" s="37">
        <v>43996</v>
      </c>
    </row>
    <row r="9" spans="1:8" x14ac:dyDescent="0.3">
      <c r="A9" s="36">
        <v>8</v>
      </c>
      <c r="B9" s="36">
        <v>108</v>
      </c>
      <c r="C9" s="36" t="s">
        <v>248</v>
      </c>
      <c r="D9" s="36" t="s">
        <v>801</v>
      </c>
      <c r="E9" s="37">
        <v>46266</v>
      </c>
      <c r="F9" s="36" t="s">
        <v>176</v>
      </c>
      <c r="G9" s="39"/>
      <c r="H9" s="37">
        <v>44469</v>
      </c>
    </row>
    <row r="10" spans="1:8" x14ac:dyDescent="0.3">
      <c r="A10" s="36">
        <v>9</v>
      </c>
      <c r="B10" s="36">
        <v>109</v>
      </c>
      <c r="C10" s="36" t="s">
        <v>248</v>
      </c>
      <c r="D10" s="36" t="s">
        <v>802</v>
      </c>
      <c r="E10" s="37">
        <v>45627</v>
      </c>
      <c r="F10" s="36" t="s">
        <v>242</v>
      </c>
      <c r="G10" s="39"/>
      <c r="H10" s="37">
        <v>43800</v>
      </c>
    </row>
    <row r="11" spans="1:8" x14ac:dyDescent="0.3">
      <c r="A11" s="36">
        <v>10</v>
      </c>
      <c r="B11" s="36">
        <v>109</v>
      </c>
      <c r="C11" s="36" t="s">
        <v>248</v>
      </c>
      <c r="D11" s="36" t="s">
        <v>803</v>
      </c>
      <c r="E11" s="37">
        <v>46722</v>
      </c>
      <c r="F11" s="36" t="s">
        <v>176</v>
      </c>
      <c r="G11" s="39"/>
      <c r="H11" s="37">
        <v>45261</v>
      </c>
    </row>
    <row r="12" spans="1:8" x14ac:dyDescent="0.3">
      <c r="A12" s="36">
        <v>11</v>
      </c>
      <c r="B12" s="36">
        <v>111</v>
      </c>
      <c r="C12" s="36" t="s">
        <v>249</v>
      </c>
      <c r="D12" s="36" t="s">
        <v>804</v>
      </c>
      <c r="E12" s="37">
        <v>46600</v>
      </c>
      <c r="F12" s="36" t="s">
        <v>176</v>
      </c>
      <c r="G12" s="39">
        <v>50000</v>
      </c>
      <c r="H12" s="37">
        <v>42965</v>
      </c>
    </row>
    <row r="13" spans="1:8" x14ac:dyDescent="0.3">
      <c r="A13" s="36">
        <v>12</v>
      </c>
      <c r="B13" s="36">
        <v>111</v>
      </c>
      <c r="C13" s="36" t="s">
        <v>248</v>
      </c>
      <c r="D13" s="36" t="s">
        <v>805</v>
      </c>
      <c r="E13" s="37">
        <v>46235</v>
      </c>
      <c r="F13" s="36" t="s">
        <v>176</v>
      </c>
      <c r="G13" s="39"/>
      <c r="H13" s="37">
        <v>42965</v>
      </c>
    </row>
    <row r="14" spans="1:8" x14ac:dyDescent="0.3">
      <c r="A14" s="36">
        <v>13</v>
      </c>
      <c r="B14" s="36">
        <v>112</v>
      </c>
      <c r="C14" s="36" t="s">
        <v>248</v>
      </c>
      <c r="D14" s="36" t="s">
        <v>806</v>
      </c>
      <c r="E14" s="37">
        <v>46023</v>
      </c>
      <c r="F14" s="36" t="s">
        <v>176</v>
      </c>
      <c r="G14" s="39"/>
      <c r="H14" s="37">
        <v>43110</v>
      </c>
    </row>
    <row r="15" spans="1:8" x14ac:dyDescent="0.3">
      <c r="A15" s="36">
        <v>14</v>
      </c>
      <c r="B15" s="36">
        <v>114</v>
      </c>
      <c r="C15" s="36" t="s">
        <v>248</v>
      </c>
      <c r="D15" s="36" t="s">
        <v>807</v>
      </c>
      <c r="E15" s="37">
        <v>46082</v>
      </c>
      <c r="F15" s="36" t="s">
        <v>176</v>
      </c>
      <c r="G15" s="39"/>
      <c r="H15" s="37">
        <v>44270</v>
      </c>
    </row>
    <row r="16" spans="1:8" x14ac:dyDescent="0.3">
      <c r="A16" s="36">
        <v>15</v>
      </c>
      <c r="B16" s="36">
        <v>115</v>
      </c>
      <c r="C16" s="36" t="s">
        <v>249</v>
      </c>
      <c r="D16" s="36" t="s">
        <v>808</v>
      </c>
      <c r="E16" s="37">
        <v>46478</v>
      </c>
      <c r="F16" s="36" t="s">
        <v>176</v>
      </c>
      <c r="G16" s="39">
        <v>7000</v>
      </c>
      <c r="H16" s="37">
        <v>44287</v>
      </c>
    </row>
    <row r="17" spans="1:8" x14ac:dyDescent="0.3">
      <c r="A17" s="36">
        <v>16</v>
      </c>
      <c r="B17" s="36">
        <v>116</v>
      </c>
      <c r="C17" s="36" t="s">
        <v>248</v>
      </c>
      <c r="D17" s="36" t="s">
        <v>809</v>
      </c>
      <c r="E17" s="37">
        <v>45870</v>
      </c>
      <c r="F17" s="36" t="s">
        <v>176</v>
      </c>
      <c r="G17" s="39"/>
      <c r="H17" s="37">
        <v>44063</v>
      </c>
    </row>
    <row r="18" spans="1:8" x14ac:dyDescent="0.3">
      <c r="A18" s="36">
        <v>17</v>
      </c>
      <c r="B18" s="36">
        <v>117</v>
      </c>
      <c r="C18" s="36" t="s">
        <v>248</v>
      </c>
      <c r="D18" s="36" t="s">
        <v>810</v>
      </c>
      <c r="E18" s="37">
        <v>45597</v>
      </c>
      <c r="F18" s="36" t="s">
        <v>242</v>
      </c>
      <c r="G18" s="39"/>
      <c r="H18" s="37">
        <v>43779</v>
      </c>
    </row>
    <row r="19" spans="1:8" x14ac:dyDescent="0.3">
      <c r="A19" s="36">
        <v>18</v>
      </c>
      <c r="B19" s="36">
        <v>117</v>
      </c>
      <c r="C19" s="36" t="s">
        <v>248</v>
      </c>
      <c r="D19" s="36" t="s">
        <v>811</v>
      </c>
      <c r="E19" s="37">
        <v>46692</v>
      </c>
      <c r="F19" s="36" t="s">
        <v>176</v>
      </c>
      <c r="G19" s="39"/>
      <c r="H19" s="37">
        <v>45240</v>
      </c>
    </row>
    <row r="20" spans="1:8" x14ac:dyDescent="0.3">
      <c r="A20" s="36">
        <v>19</v>
      </c>
      <c r="B20" s="36">
        <v>118</v>
      </c>
      <c r="C20" s="36" t="s">
        <v>249</v>
      </c>
      <c r="D20" s="36" t="s">
        <v>812</v>
      </c>
      <c r="E20" s="37">
        <v>46388</v>
      </c>
      <c r="F20" s="36" t="s">
        <v>176</v>
      </c>
      <c r="G20" s="39">
        <v>25000</v>
      </c>
      <c r="H20" s="37">
        <v>43845</v>
      </c>
    </row>
    <row r="21" spans="1:8" x14ac:dyDescent="0.3">
      <c r="A21" s="36">
        <v>20</v>
      </c>
      <c r="B21" s="36">
        <v>120</v>
      </c>
      <c r="C21" s="36" t="s">
        <v>249</v>
      </c>
      <c r="D21" s="36" t="s">
        <v>813</v>
      </c>
      <c r="E21" s="37">
        <v>46539</v>
      </c>
      <c r="F21" s="36" t="s">
        <v>176</v>
      </c>
      <c r="G21" s="39">
        <v>40000</v>
      </c>
      <c r="H21" s="37">
        <v>43276</v>
      </c>
    </row>
    <row r="22" spans="1:8" x14ac:dyDescent="0.3">
      <c r="A22" s="36">
        <v>21</v>
      </c>
      <c r="B22" s="36">
        <v>120</v>
      </c>
      <c r="C22" s="36" t="s">
        <v>248</v>
      </c>
      <c r="D22" s="36" t="s">
        <v>814</v>
      </c>
      <c r="E22" s="37">
        <v>46174</v>
      </c>
      <c r="F22" s="36" t="s">
        <v>176</v>
      </c>
      <c r="G22" s="39"/>
      <c r="H22" s="37">
        <v>43276</v>
      </c>
    </row>
    <row r="23" spans="1:8" x14ac:dyDescent="0.3">
      <c r="A23" s="36">
        <v>22</v>
      </c>
      <c r="B23" s="36">
        <v>124</v>
      </c>
      <c r="C23" s="36" t="s">
        <v>249</v>
      </c>
      <c r="D23" s="36" t="s">
        <v>815</v>
      </c>
      <c r="E23" s="37">
        <v>46508</v>
      </c>
      <c r="F23" s="36" t="s">
        <v>176</v>
      </c>
      <c r="G23" s="39">
        <v>12000</v>
      </c>
      <c r="H23" s="37">
        <v>43952</v>
      </c>
    </row>
    <row r="24" spans="1:8" x14ac:dyDescent="0.3">
      <c r="A24" s="36">
        <v>23</v>
      </c>
      <c r="B24" s="36">
        <v>129</v>
      </c>
      <c r="C24" s="36" t="s">
        <v>249</v>
      </c>
      <c r="D24" s="36" t="s">
        <v>816</v>
      </c>
      <c r="E24" s="37">
        <v>46447</v>
      </c>
      <c r="F24" s="36" t="s">
        <v>176</v>
      </c>
      <c r="G24" s="39">
        <v>75000</v>
      </c>
      <c r="H24" s="37">
        <v>43200</v>
      </c>
    </row>
    <row r="25" spans="1:8" x14ac:dyDescent="0.3">
      <c r="A25" s="36">
        <v>24</v>
      </c>
      <c r="B25" s="36">
        <v>129</v>
      </c>
      <c r="C25" s="36" t="s">
        <v>248</v>
      </c>
      <c r="D25" s="36" t="s">
        <v>817</v>
      </c>
      <c r="E25" s="37">
        <v>46082</v>
      </c>
      <c r="F25" s="36" t="s">
        <v>176</v>
      </c>
      <c r="G25" s="39"/>
      <c r="H25" s="37">
        <v>43187</v>
      </c>
    </row>
    <row r="26" spans="1:8" x14ac:dyDescent="0.3">
      <c r="A26" s="36">
        <v>25</v>
      </c>
      <c r="B26" s="36">
        <v>130</v>
      </c>
      <c r="C26" s="36" t="s">
        <v>248</v>
      </c>
      <c r="D26" s="36" t="s">
        <v>818</v>
      </c>
      <c r="E26" s="37">
        <v>46113</v>
      </c>
      <c r="F26" s="36" t="s">
        <v>176</v>
      </c>
      <c r="G26" s="39"/>
      <c r="H26" s="37">
        <v>43200</v>
      </c>
    </row>
    <row r="27" spans="1:8" x14ac:dyDescent="0.3">
      <c r="A27" s="36">
        <v>26</v>
      </c>
      <c r="B27" s="36">
        <v>133</v>
      </c>
      <c r="C27" s="36" t="s">
        <v>249</v>
      </c>
      <c r="D27" s="36" t="s">
        <v>819</v>
      </c>
      <c r="E27" s="37">
        <v>46447</v>
      </c>
      <c r="F27" s="36" t="s">
        <v>176</v>
      </c>
      <c r="G27" s="39">
        <v>15000</v>
      </c>
      <c r="H27" s="37">
        <v>43525</v>
      </c>
    </row>
    <row r="28" spans="1:8" x14ac:dyDescent="0.3">
      <c r="A28" s="36">
        <v>27</v>
      </c>
      <c r="B28" s="36">
        <v>136</v>
      </c>
      <c r="C28" s="36" t="s">
        <v>249</v>
      </c>
      <c r="D28" s="36" t="s">
        <v>820</v>
      </c>
      <c r="E28" s="37">
        <v>46569</v>
      </c>
      <c r="F28" s="36" t="s">
        <v>176</v>
      </c>
      <c r="G28" s="39">
        <v>18000</v>
      </c>
      <c r="H28" s="37">
        <v>44013</v>
      </c>
    </row>
    <row r="29" spans="1:8" x14ac:dyDescent="0.3">
      <c r="A29" s="36">
        <v>28</v>
      </c>
      <c r="B29" s="36">
        <v>138</v>
      </c>
      <c r="C29" s="36" t="s">
        <v>249</v>
      </c>
      <c r="D29" s="36" t="s">
        <v>821</v>
      </c>
      <c r="E29" s="37">
        <v>46661</v>
      </c>
      <c r="F29" s="36" t="s">
        <v>176</v>
      </c>
      <c r="G29" s="39">
        <v>35000</v>
      </c>
      <c r="H29" s="37">
        <v>43739</v>
      </c>
    </row>
    <row r="30" spans="1:8" x14ac:dyDescent="0.3">
      <c r="A30" s="36">
        <v>29</v>
      </c>
      <c r="B30" s="36">
        <v>138</v>
      </c>
      <c r="C30" s="36" t="s">
        <v>248</v>
      </c>
      <c r="D30" s="36" t="s">
        <v>822</v>
      </c>
      <c r="E30" s="37">
        <v>46266</v>
      </c>
      <c r="F30" s="36" t="s">
        <v>176</v>
      </c>
      <c r="G30" s="39"/>
      <c r="H30" s="37">
        <v>43716</v>
      </c>
    </row>
    <row r="31" spans="1:8" x14ac:dyDescent="0.3">
      <c r="A31" s="36">
        <v>30</v>
      </c>
      <c r="B31" s="36">
        <v>148</v>
      </c>
      <c r="C31" s="36" t="s">
        <v>249</v>
      </c>
      <c r="D31" s="36" t="s">
        <v>823</v>
      </c>
      <c r="E31" s="37">
        <v>46661</v>
      </c>
      <c r="F31" s="36" t="s">
        <v>176</v>
      </c>
      <c r="G31" s="39">
        <v>45000</v>
      </c>
      <c r="H31" s="37">
        <v>43747</v>
      </c>
    </row>
    <row r="32" spans="1:8" x14ac:dyDescent="0.3">
      <c r="A32" s="36">
        <v>31</v>
      </c>
      <c r="B32" s="36">
        <v>152</v>
      </c>
      <c r="C32" s="36" t="s">
        <v>249</v>
      </c>
      <c r="D32" s="36" t="s">
        <v>824</v>
      </c>
      <c r="E32" s="37">
        <v>46600</v>
      </c>
      <c r="F32" s="36" t="s">
        <v>176</v>
      </c>
      <c r="G32" s="39">
        <v>22000</v>
      </c>
      <c r="H32" s="37">
        <v>43328</v>
      </c>
    </row>
    <row r="33" spans="1:8" x14ac:dyDescent="0.3">
      <c r="A33" s="36">
        <v>32</v>
      </c>
      <c r="B33" s="36">
        <v>160</v>
      </c>
      <c r="C33" s="36" t="s">
        <v>249</v>
      </c>
      <c r="D33" s="36" t="s">
        <v>825</v>
      </c>
      <c r="E33" s="37">
        <v>46539</v>
      </c>
      <c r="F33" s="36" t="s">
        <v>176</v>
      </c>
      <c r="G33" s="39">
        <v>30000</v>
      </c>
      <c r="H33" s="37">
        <v>43261</v>
      </c>
    </row>
    <row r="34" spans="1:8" x14ac:dyDescent="0.3">
      <c r="A34" s="36">
        <v>33</v>
      </c>
      <c r="B34" s="36">
        <v>164</v>
      </c>
      <c r="C34" s="36" t="s">
        <v>249</v>
      </c>
      <c r="D34" s="36" t="s">
        <v>826</v>
      </c>
      <c r="E34" s="37">
        <v>46419</v>
      </c>
      <c r="F34" s="36" t="s">
        <v>176</v>
      </c>
      <c r="G34" s="39">
        <v>20000</v>
      </c>
      <c r="H34" s="37">
        <v>43870</v>
      </c>
    </row>
    <row r="35" spans="1:8" x14ac:dyDescent="0.3">
      <c r="A35" s="36">
        <v>34</v>
      </c>
      <c r="B35" s="36">
        <v>106</v>
      </c>
      <c r="C35" s="36" t="s">
        <v>248</v>
      </c>
      <c r="D35" s="36" t="s">
        <v>827</v>
      </c>
      <c r="E35" s="37">
        <v>46419</v>
      </c>
      <c r="F35" s="36" t="s">
        <v>176</v>
      </c>
      <c r="G35" s="39"/>
      <c r="H35" s="37">
        <v>44620</v>
      </c>
    </row>
    <row r="36" spans="1:8" x14ac:dyDescent="0.3">
      <c r="A36" s="36">
        <v>35</v>
      </c>
      <c r="B36" s="36">
        <v>110</v>
      </c>
      <c r="C36" s="36" t="s">
        <v>248</v>
      </c>
      <c r="D36" s="36" t="s">
        <v>828</v>
      </c>
      <c r="E36" s="37">
        <v>46388</v>
      </c>
      <c r="F36" s="36" t="s">
        <v>243</v>
      </c>
      <c r="G36" s="39"/>
      <c r="H36" s="37">
        <v>44946</v>
      </c>
    </row>
    <row r="37" spans="1:8" x14ac:dyDescent="0.3">
      <c r="A37" s="36">
        <v>36</v>
      </c>
      <c r="B37" s="36">
        <v>169</v>
      </c>
      <c r="C37" s="36" t="s">
        <v>248</v>
      </c>
      <c r="D37" s="36" t="s">
        <v>829</v>
      </c>
      <c r="E37" s="37">
        <v>46143</v>
      </c>
      <c r="F37" s="36" t="s">
        <v>176</v>
      </c>
      <c r="G37" s="39"/>
      <c r="H37" s="37">
        <v>44331</v>
      </c>
    </row>
    <row r="38" spans="1:8" x14ac:dyDescent="0.3">
      <c r="A38" s="36">
        <v>37</v>
      </c>
      <c r="B38" s="36">
        <v>170</v>
      </c>
      <c r="C38" s="36" t="s">
        <v>249</v>
      </c>
      <c r="D38" s="36" t="s">
        <v>830</v>
      </c>
      <c r="E38" s="37">
        <v>46539</v>
      </c>
      <c r="F38" s="36" t="s">
        <v>176</v>
      </c>
      <c r="G38" s="39">
        <v>8000</v>
      </c>
      <c r="H38" s="37">
        <v>44348</v>
      </c>
    </row>
    <row r="39" spans="1:8" x14ac:dyDescent="0.3">
      <c r="A39" s="36">
        <v>38</v>
      </c>
      <c r="B39" s="36">
        <v>171</v>
      </c>
      <c r="C39" s="36" t="s">
        <v>248</v>
      </c>
      <c r="D39" s="36" t="s">
        <v>831</v>
      </c>
      <c r="E39" s="37">
        <v>45901</v>
      </c>
      <c r="F39" s="36" t="s">
        <v>176</v>
      </c>
      <c r="G39" s="39"/>
      <c r="H39" s="37">
        <v>44086</v>
      </c>
    </row>
    <row r="40" spans="1:8" x14ac:dyDescent="0.3">
      <c r="A40" s="36">
        <v>39</v>
      </c>
      <c r="B40" s="36">
        <v>172</v>
      </c>
      <c r="C40" s="36" t="s">
        <v>248</v>
      </c>
      <c r="D40" s="36" t="s">
        <v>832</v>
      </c>
      <c r="E40" s="37">
        <v>45383</v>
      </c>
      <c r="F40" s="36" t="s">
        <v>242</v>
      </c>
      <c r="G40" s="39"/>
      <c r="H40" s="37">
        <v>43563</v>
      </c>
    </row>
    <row r="41" spans="1:8" x14ac:dyDescent="0.3">
      <c r="A41" s="36">
        <v>40</v>
      </c>
      <c r="B41" s="36">
        <v>172</v>
      </c>
      <c r="C41" s="36" t="s">
        <v>248</v>
      </c>
      <c r="D41" s="36" t="s">
        <v>833</v>
      </c>
      <c r="E41" s="37">
        <v>46478</v>
      </c>
      <c r="F41" s="36" t="s">
        <v>176</v>
      </c>
      <c r="G41" s="39"/>
      <c r="H41" s="37">
        <v>45024</v>
      </c>
    </row>
    <row r="42" spans="1:8" x14ac:dyDescent="0.3">
      <c r="A42" s="36">
        <v>41</v>
      </c>
      <c r="B42" s="36">
        <v>173</v>
      </c>
      <c r="C42" s="36" t="s">
        <v>249</v>
      </c>
      <c r="D42" s="36" t="s">
        <v>834</v>
      </c>
      <c r="E42" s="37">
        <v>46508</v>
      </c>
      <c r="F42" s="36" t="s">
        <v>176</v>
      </c>
      <c r="G42" s="39">
        <v>40000</v>
      </c>
      <c r="H42" s="37">
        <v>43586</v>
      </c>
    </row>
    <row r="43" spans="1:8" x14ac:dyDescent="0.3">
      <c r="A43" s="36">
        <v>42</v>
      </c>
      <c r="B43" s="36">
        <v>174</v>
      </c>
      <c r="C43" s="36" t="s">
        <v>248</v>
      </c>
      <c r="D43" s="36" t="s">
        <v>835</v>
      </c>
      <c r="E43" s="37">
        <v>46419</v>
      </c>
      <c r="F43" s="36" t="s">
        <v>176</v>
      </c>
      <c r="G43" s="39"/>
      <c r="H43" s="37">
        <v>44606</v>
      </c>
    </row>
    <row r="44" spans="1:8" x14ac:dyDescent="0.3">
      <c r="A44" s="36">
        <v>43</v>
      </c>
      <c r="B44" s="36">
        <v>175</v>
      </c>
      <c r="C44" s="36" t="s">
        <v>248</v>
      </c>
      <c r="D44" s="36" t="s">
        <v>836</v>
      </c>
      <c r="E44" s="37">
        <v>46235</v>
      </c>
      <c r="F44" s="36" t="s">
        <v>176</v>
      </c>
      <c r="G44" s="39"/>
      <c r="H44" s="37">
        <v>44428</v>
      </c>
    </row>
    <row r="45" spans="1:8" x14ac:dyDescent="0.3">
      <c r="A45" s="36">
        <v>44</v>
      </c>
      <c r="B45" s="36">
        <v>176</v>
      </c>
      <c r="C45" s="36" t="s">
        <v>249</v>
      </c>
      <c r="D45" s="36" t="s">
        <v>837</v>
      </c>
      <c r="E45" s="37">
        <v>46631</v>
      </c>
      <c r="F45" s="36" t="s">
        <v>176</v>
      </c>
      <c r="G45" s="39">
        <v>10000</v>
      </c>
      <c r="H45" s="37">
        <v>44440</v>
      </c>
    </row>
    <row r="46" spans="1:8" x14ac:dyDescent="0.3">
      <c r="A46" s="36">
        <v>45</v>
      </c>
      <c r="B46" s="36">
        <v>177</v>
      </c>
      <c r="C46" s="36" t="s">
        <v>249</v>
      </c>
      <c r="D46" s="36" t="s">
        <v>838</v>
      </c>
      <c r="E46" s="37">
        <v>46692</v>
      </c>
      <c r="F46" s="36" t="s">
        <v>176</v>
      </c>
      <c r="G46" s="39">
        <v>22000</v>
      </c>
      <c r="H46" s="37">
        <v>44165</v>
      </c>
    </row>
    <row r="47" spans="1:8" x14ac:dyDescent="0.3">
      <c r="A47" s="36">
        <v>46</v>
      </c>
      <c r="B47" s="36">
        <v>177</v>
      </c>
      <c r="C47" s="36" t="s">
        <v>248</v>
      </c>
      <c r="D47" s="36" t="s">
        <v>839</v>
      </c>
      <c r="E47" s="37">
        <v>45962</v>
      </c>
      <c r="F47" s="36" t="s">
        <v>176</v>
      </c>
      <c r="G47" s="39"/>
      <c r="H47" s="37">
        <v>44165</v>
      </c>
    </row>
    <row r="48" spans="1:8" x14ac:dyDescent="0.3">
      <c r="A48" s="36">
        <v>47</v>
      </c>
      <c r="B48" s="36">
        <v>178</v>
      </c>
      <c r="C48" s="36" t="s">
        <v>248</v>
      </c>
      <c r="D48" s="36" t="s">
        <v>840</v>
      </c>
      <c r="E48" s="37">
        <v>45108</v>
      </c>
      <c r="F48" s="36" t="s">
        <v>242</v>
      </c>
      <c r="G48" s="39"/>
      <c r="H48" s="37">
        <v>43306</v>
      </c>
    </row>
    <row r="49" spans="1:8" x14ac:dyDescent="0.3">
      <c r="A49" s="36">
        <v>48</v>
      </c>
      <c r="B49" s="36">
        <v>178</v>
      </c>
      <c r="C49" s="36" t="s">
        <v>248</v>
      </c>
      <c r="D49" s="36" t="s">
        <v>841</v>
      </c>
      <c r="E49" s="37">
        <v>46569</v>
      </c>
      <c r="F49" s="36" t="s">
        <v>176</v>
      </c>
      <c r="G49" s="39"/>
      <c r="H49" s="37">
        <v>45132</v>
      </c>
    </row>
    <row r="50" spans="1:8" x14ac:dyDescent="0.3">
      <c r="A50" s="36">
        <v>49</v>
      </c>
      <c r="B50" s="36">
        <v>179</v>
      </c>
      <c r="C50" s="36" t="s">
        <v>248</v>
      </c>
      <c r="D50" s="36" t="s">
        <v>842</v>
      </c>
      <c r="E50" s="37">
        <v>46478</v>
      </c>
      <c r="F50" s="36" t="s">
        <v>176</v>
      </c>
      <c r="G50" s="39"/>
      <c r="H50" s="37">
        <v>44656</v>
      </c>
    </row>
    <row r="51" spans="1:8" x14ac:dyDescent="0.3">
      <c r="A51" s="36">
        <v>50</v>
      </c>
      <c r="B51" s="36">
        <v>180</v>
      </c>
      <c r="C51" s="36" t="s">
        <v>248</v>
      </c>
      <c r="D51" s="36" t="s">
        <v>843</v>
      </c>
      <c r="E51" s="37">
        <v>45566</v>
      </c>
      <c r="F51" s="36" t="s">
        <v>242</v>
      </c>
      <c r="G51" s="39"/>
      <c r="H51" s="37">
        <v>43756</v>
      </c>
    </row>
    <row r="52" spans="1:8" x14ac:dyDescent="0.3">
      <c r="A52" s="36">
        <v>51</v>
      </c>
      <c r="B52" s="36">
        <v>180</v>
      </c>
      <c r="C52" s="36" t="s">
        <v>248</v>
      </c>
      <c r="D52" s="36" t="s">
        <v>844</v>
      </c>
      <c r="E52" s="37">
        <v>46661</v>
      </c>
      <c r="F52" s="36" t="s">
        <v>176</v>
      </c>
      <c r="G52" s="39"/>
      <c r="H52" s="37">
        <v>45217</v>
      </c>
    </row>
    <row r="53" spans="1:8" x14ac:dyDescent="0.3">
      <c r="A53" s="36">
        <v>52</v>
      </c>
      <c r="B53" s="36">
        <v>181</v>
      </c>
      <c r="C53" s="36" t="s">
        <v>249</v>
      </c>
      <c r="D53" s="36" t="s">
        <v>845</v>
      </c>
      <c r="E53" s="37">
        <v>46692</v>
      </c>
      <c r="F53" s="36" t="s">
        <v>176</v>
      </c>
      <c r="G53" s="39">
        <v>20000</v>
      </c>
      <c r="H53" s="37">
        <v>43770</v>
      </c>
    </row>
    <row r="54" spans="1:8" x14ac:dyDescent="0.3">
      <c r="A54" s="36">
        <v>53</v>
      </c>
      <c r="B54" s="36">
        <v>181</v>
      </c>
      <c r="C54" s="36" t="s">
        <v>248</v>
      </c>
      <c r="D54" s="36" t="s">
        <v>846</v>
      </c>
      <c r="E54" s="37">
        <v>46296</v>
      </c>
      <c r="F54" s="36" t="s">
        <v>176</v>
      </c>
      <c r="G54" s="39"/>
      <c r="H54" s="37">
        <v>43756</v>
      </c>
    </row>
    <row r="55" spans="1:8" x14ac:dyDescent="0.3">
      <c r="A55" s="36">
        <v>54</v>
      </c>
      <c r="B55" s="36">
        <v>182</v>
      </c>
      <c r="C55" s="36" t="s">
        <v>248</v>
      </c>
      <c r="D55" s="36" t="s">
        <v>847</v>
      </c>
      <c r="E55" s="37">
        <v>46357</v>
      </c>
      <c r="F55" s="36" t="s">
        <v>176</v>
      </c>
      <c r="G55" s="39"/>
      <c r="H55" s="37">
        <v>44538</v>
      </c>
    </row>
    <row r="56" spans="1:8" x14ac:dyDescent="0.3">
      <c r="A56" s="36">
        <v>55</v>
      </c>
      <c r="B56" s="36">
        <v>122</v>
      </c>
      <c r="C56" s="36" t="s">
        <v>249</v>
      </c>
      <c r="D56" s="36" t="s">
        <v>848</v>
      </c>
      <c r="E56" s="37">
        <v>46722</v>
      </c>
      <c r="F56" s="36" t="s">
        <v>176</v>
      </c>
      <c r="G56" s="39">
        <v>5000</v>
      </c>
      <c r="H56" s="37">
        <v>44562</v>
      </c>
    </row>
    <row r="57" spans="1:8" x14ac:dyDescent="0.3">
      <c r="A57" s="36">
        <v>56</v>
      </c>
      <c r="B57" s="36">
        <v>125</v>
      </c>
      <c r="C57" s="36" t="s">
        <v>248</v>
      </c>
      <c r="D57" s="36" t="s">
        <v>849</v>
      </c>
      <c r="E57" s="37">
        <v>45474</v>
      </c>
      <c r="F57" s="36" t="s">
        <v>242</v>
      </c>
      <c r="G57" s="39"/>
      <c r="H57" s="37">
        <v>43668</v>
      </c>
    </row>
    <row r="58" spans="1:8" x14ac:dyDescent="0.3">
      <c r="A58" s="36">
        <v>57</v>
      </c>
      <c r="B58" s="36">
        <v>125</v>
      </c>
      <c r="C58" s="36" t="s">
        <v>248</v>
      </c>
      <c r="D58" s="36" t="s">
        <v>850</v>
      </c>
      <c r="E58" s="37">
        <v>46569</v>
      </c>
      <c r="F58" s="36" t="s">
        <v>176</v>
      </c>
      <c r="G58" s="39"/>
      <c r="H58" s="37">
        <v>45129</v>
      </c>
    </row>
    <row r="59" spans="1:8" x14ac:dyDescent="0.3">
      <c r="A59" s="36">
        <v>58</v>
      </c>
      <c r="B59" s="36">
        <v>131</v>
      </c>
      <c r="C59" s="36" t="s">
        <v>248</v>
      </c>
      <c r="D59" s="36" t="s">
        <v>851</v>
      </c>
      <c r="E59" s="37">
        <v>45931</v>
      </c>
      <c r="F59" s="36" t="s">
        <v>176</v>
      </c>
      <c r="G59" s="39"/>
      <c r="H59" s="37">
        <v>44119</v>
      </c>
    </row>
    <row r="60" spans="1:8" x14ac:dyDescent="0.3">
      <c r="A60" s="36">
        <v>59</v>
      </c>
      <c r="B60" s="36">
        <v>134</v>
      </c>
      <c r="C60" s="36" t="s">
        <v>248</v>
      </c>
      <c r="D60" s="36" t="s">
        <v>852</v>
      </c>
      <c r="E60" s="37">
        <v>46235</v>
      </c>
      <c r="F60" s="36" t="s">
        <v>176</v>
      </c>
      <c r="G60" s="39"/>
      <c r="H60" s="37">
        <v>44415</v>
      </c>
    </row>
    <row r="61" spans="1:8" x14ac:dyDescent="0.3">
      <c r="A61" s="36">
        <v>60</v>
      </c>
      <c r="B61" s="36">
        <v>140</v>
      </c>
      <c r="C61" s="36" t="s">
        <v>248</v>
      </c>
      <c r="D61" s="36" t="s">
        <v>853</v>
      </c>
      <c r="E61" s="37">
        <v>46023</v>
      </c>
      <c r="F61" s="36" t="s">
        <v>176</v>
      </c>
      <c r="G61" s="39"/>
      <c r="H61" s="37">
        <v>44210</v>
      </c>
    </row>
  </sheetData>
  <dataValidations count="2">
    <dataValidation type="list" allowBlank="1" errorTitle="Invalid" error="Value not in allowed set" prompt="Allowed: DEBIT, CREDIT" sqref="C2:C61" xr:uid="{00000000-0002-0000-1000-000000000000}">
      <formula1>"DEBIT,CREDIT"</formula1>
      <formula2>0</formula2>
    </dataValidation>
    <dataValidation type="list" allowBlank="1" errorTitle="Invalid" error="Value not in allowed set" prompt="Allowed: ACTIVE, BLOCKED, EXPIRED" sqref="F2:F61" xr:uid="{00000000-0002-0000-1000-000001000000}">
      <formula1>"ACTIVE,BLOCKED,EXPIRED"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17" customWidth="1"/>
    <col min="3" max="3" width="15" customWidth="1"/>
    <col min="4" max="4" width="11" customWidth="1"/>
    <col min="5" max="5" width="15" customWidth="1"/>
    <col min="6" max="6" width="25" customWidth="1"/>
    <col min="7" max="7" width="11" customWidth="1"/>
  </cols>
  <sheetData>
    <row r="1" spans="1:7" ht="24" customHeight="1" x14ac:dyDescent="0.3">
      <c r="A1" s="23" t="s">
        <v>305</v>
      </c>
      <c r="B1" s="23" t="s">
        <v>854</v>
      </c>
      <c r="C1" s="23" t="s">
        <v>855</v>
      </c>
      <c r="D1" s="23" t="s">
        <v>666</v>
      </c>
      <c r="E1" s="23" t="s">
        <v>856</v>
      </c>
      <c r="F1" s="23" t="s">
        <v>668</v>
      </c>
      <c r="G1" s="23" t="s">
        <v>664</v>
      </c>
    </row>
    <row r="2" spans="1:7" x14ac:dyDescent="0.3">
      <c r="A2" s="36">
        <v>1</v>
      </c>
      <c r="B2" s="36">
        <v>101</v>
      </c>
      <c r="C2" s="36">
        <v>102</v>
      </c>
      <c r="D2" s="39">
        <v>2000</v>
      </c>
      <c r="E2" s="37">
        <v>45299</v>
      </c>
      <c r="F2" s="36" t="s">
        <v>857</v>
      </c>
      <c r="G2" s="36" t="s">
        <v>858</v>
      </c>
    </row>
    <row r="3" spans="1:7" x14ac:dyDescent="0.3">
      <c r="A3" s="36">
        <v>2</v>
      </c>
      <c r="B3" s="36">
        <v>108</v>
      </c>
      <c r="C3" s="36">
        <v>125</v>
      </c>
      <c r="D3" s="39">
        <v>1500</v>
      </c>
      <c r="E3" s="37">
        <v>45327</v>
      </c>
      <c r="F3" s="36" t="s">
        <v>676</v>
      </c>
      <c r="G3" s="36" t="s">
        <v>858</v>
      </c>
    </row>
    <row r="4" spans="1:7" x14ac:dyDescent="0.3">
      <c r="A4" s="36">
        <v>3</v>
      </c>
      <c r="B4" s="36">
        <v>111</v>
      </c>
      <c r="C4" s="36">
        <v>112</v>
      </c>
      <c r="D4" s="39">
        <v>500</v>
      </c>
      <c r="E4" s="37">
        <v>45340</v>
      </c>
      <c r="F4" s="36" t="s">
        <v>681</v>
      </c>
      <c r="G4" s="36" t="s">
        <v>858</v>
      </c>
    </row>
    <row r="5" spans="1:7" x14ac:dyDescent="0.3">
      <c r="A5" s="36">
        <v>4</v>
      </c>
      <c r="B5" s="36">
        <v>103</v>
      </c>
      <c r="C5" s="36">
        <v>107</v>
      </c>
      <c r="D5" s="39">
        <v>3000</v>
      </c>
      <c r="E5" s="37">
        <v>45347</v>
      </c>
      <c r="F5" s="36" t="s">
        <v>859</v>
      </c>
      <c r="G5" s="36" t="s">
        <v>858</v>
      </c>
    </row>
    <row r="6" spans="1:7" x14ac:dyDescent="0.3">
      <c r="A6" s="36">
        <v>5</v>
      </c>
      <c r="B6" s="36">
        <v>105</v>
      </c>
      <c r="C6" s="36">
        <v>109</v>
      </c>
      <c r="D6" s="39">
        <v>5000</v>
      </c>
      <c r="E6" s="37">
        <v>45352</v>
      </c>
      <c r="F6" s="36" t="s">
        <v>860</v>
      </c>
      <c r="G6" s="36" t="s">
        <v>858</v>
      </c>
    </row>
    <row r="7" spans="1:7" x14ac:dyDescent="0.3">
      <c r="A7" s="36">
        <v>6</v>
      </c>
      <c r="B7" s="36">
        <v>120</v>
      </c>
      <c r="C7" s="36">
        <v>121</v>
      </c>
      <c r="D7" s="39">
        <v>8000</v>
      </c>
      <c r="E7" s="37">
        <v>45371</v>
      </c>
      <c r="F7" s="36" t="s">
        <v>857</v>
      </c>
      <c r="G7" s="36" t="s">
        <v>858</v>
      </c>
    </row>
    <row r="8" spans="1:7" x14ac:dyDescent="0.3">
      <c r="A8" s="36">
        <v>7</v>
      </c>
      <c r="B8" s="36">
        <v>129</v>
      </c>
      <c r="C8" s="36">
        <v>130</v>
      </c>
      <c r="D8" s="39">
        <v>5000</v>
      </c>
      <c r="E8" s="37">
        <v>45397</v>
      </c>
      <c r="F8" s="36" t="s">
        <v>681</v>
      </c>
      <c r="G8" s="36" t="s">
        <v>858</v>
      </c>
    </row>
    <row r="9" spans="1:7" x14ac:dyDescent="0.3">
      <c r="A9" s="36">
        <v>8</v>
      </c>
      <c r="B9" s="36">
        <v>111</v>
      </c>
      <c r="C9" s="36">
        <v>103</v>
      </c>
      <c r="D9" s="39">
        <v>2500</v>
      </c>
      <c r="E9" s="37">
        <v>45402</v>
      </c>
      <c r="F9" s="36" t="s">
        <v>861</v>
      </c>
      <c r="G9" s="36" t="s">
        <v>858</v>
      </c>
    </row>
    <row r="10" spans="1:7" x14ac:dyDescent="0.3">
      <c r="A10" s="36">
        <v>9</v>
      </c>
      <c r="B10" s="36">
        <v>138</v>
      </c>
      <c r="C10" s="36">
        <v>139</v>
      </c>
      <c r="D10" s="39">
        <v>3500</v>
      </c>
      <c r="E10" s="37">
        <v>45422</v>
      </c>
      <c r="F10" s="36" t="s">
        <v>857</v>
      </c>
      <c r="G10" s="36" t="s">
        <v>858</v>
      </c>
    </row>
    <row r="11" spans="1:7" x14ac:dyDescent="0.3">
      <c r="A11" s="36">
        <v>10</v>
      </c>
      <c r="B11" s="36">
        <v>148</v>
      </c>
      <c r="C11" s="36">
        <v>136</v>
      </c>
      <c r="D11" s="39">
        <v>4000</v>
      </c>
      <c r="E11" s="37">
        <v>45427</v>
      </c>
      <c r="F11" s="36" t="s">
        <v>862</v>
      </c>
      <c r="G11" s="36" t="s">
        <v>858</v>
      </c>
    </row>
    <row r="12" spans="1:7" x14ac:dyDescent="0.3">
      <c r="A12" s="36">
        <v>11</v>
      </c>
      <c r="B12" s="36">
        <v>101</v>
      </c>
      <c r="C12" s="36">
        <v>156</v>
      </c>
      <c r="D12" s="39">
        <v>800</v>
      </c>
      <c r="E12" s="37">
        <v>45432</v>
      </c>
      <c r="F12" s="36" t="s">
        <v>863</v>
      </c>
      <c r="G12" s="36" t="s">
        <v>858</v>
      </c>
    </row>
    <row r="13" spans="1:7" x14ac:dyDescent="0.3">
      <c r="A13" s="36">
        <v>12</v>
      </c>
      <c r="B13" s="36">
        <v>105</v>
      </c>
      <c r="C13" s="36">
        <v>120</v>
      </c>
      <c r="D13" s="39">
        <v>7000</v>
      </c>
      <c r="E13" s="37">
        <v>45437</v>
      </c>
      <c r="F13" s="36" t="s">
        <v>860</v>
      </c>
      <c r="G13" s="36" t="s">
        <v>858</v>
      </c>
    </row>
    <row r="14" spans="1:7" x14ac:dyDescent="0.3">
      <c r="A14" s="36">
        <v>13</v>
      </c>
      <c r="B14" s="36">
        <v>152</v>
      </c>
      <c r="C14" s="36">
        <v>164</v>
      </c>
      <c r="D14" s="39">
        <v>6000</v>
      </c>
      <c r="E14" s="37">
        <v>45444</v>
      </c>
      <c r="F14" s="36" t="s">
        <v>864</v>
      </c>
      <c r="G14" s="36" t="s">
        <v>858</v>
      </c>
    </row>
    <row r="15" spans="1:7" x14ac:dyDescent="0.3">
      <c r="A15" s="36">
        <v>14</v>
      </c>
      <c r="B15" s="36">
        <v>129</v>
      </c>
      <c r="C15" s="36">
        <v>138</v>
      </c>
      <c r="D15" s="39">
        <v>10000</v>
      </c>
      <c r="E15" s="37">
        <v>45448</v>
      </c>
      <c r="F15" s="36" t="s">
        <v>865</v>
      </c>
      <c r="G15" s="36" t="s">
        <v>858</v>
      </c>
    </row>
    <row r="16" spans="1:7" x14ac:dyDescent="0.3">
      <c r="A16" s="36">
        <v>15</v>
      </c>
      <c r="B16" s="36">
        <v>111</v>
      </c>
      <c r="C16" s="36">
        <v>148</v>
      </c>
      <c r="D16" s="39">
        <v>3000</v>
      </c>
      <c r="E16" s="37">
        <v>45453</v>
      </c>
      <c r="F16" s="36" t="s">
        <v>866</v>
      </c>
      <c r="G16" s="36" t="s">
        <v>858</v>
      </c>
    </row>
    <row r="17" spans="1:7" x14ac:dyDescent="0.3">
      <c r="A17" s="36">
        <v>16</v>
      </c>
      <c r="B17" s="36">
        <v>120</v>
      </c>
      <c r="C17" s="36">
        <v>129</v>
      </c>
      <c r="D17" s="39">
        <v>15000</v>
      </c>
      <c r="E17" s="37">
        <v>45458</v>
      </c>
      <c r="F17" s="36" t="s">
        <v>867</v>
      </c>
      <c r="G17" s="36" t="s">
        <v>868</v>
      </c>
    </row>
    <row r="18" spans="1:7" x14ac:dyDescent="0.3">
      <c r="A18" s="36">
        <v>17</v>
      </c>
      <c r="B18" s="36">
        <v>105</v>
      </c>
      <c r="C18" s="36">
        <v>138</v>
      </c>
      <c r="D18" s="39">
        <v>2000</v>
      </c>
      <c r="E18" s="37">
        <v>45461</v>
      </c>
      <c r="F18" s="36" t="s">
        <v>860</v>
      </c>
      <c r="G18" s="36" t="s">
        <v>858</v>
      </c>
    </row>
    <row r="19" spans="1:7" x14ac:dyDescent="0.3">
      <c r="A19" s="36">
        <v>18</v>
      </c>
      <c r="B19" s="36">
        <v>101</v>
      </c>
      <c r="C19" s="36">
        <v>103</v>
      </c>
      <c r="D19" s="39">
        <v>1000</v>
      </c>
      <c r="E19" s="37">
        <v>45463</v>
      </c>
      <c r="F19" s="36" t="s">
        <v>869</v>
      </c>
      <c r="G19" s="36" t="s">
        <v>858</v>
      </c>
    </row>
    <row r="20" spans="1:7" x14ac:dyDescent="0.3">
      <c r="A20" s="36">
        <v>19</v>
      </c>
      <c r="B20" s="36">
        <v>124</v>
      </c>
      <c r="C20" s="36">
        <v>127</v>
      </c>
      <c r="D20" s="39">
        <v>2000</v>
      </c>
      <c r="E20" s="37">
        <v>45465</v>
      </c>
      <c r="F20" s="36" t="s">
        <v>870</v>
      </c>
      <c r="G20" s="36" t="s">
        <v>858</v>
      </c>
    </row>
    <row r="21" spans="1:7" x14ac:dyDescent="0.3">
      <c r="A21" s="36">
        <v>20</v>
      </c>
      <c r="B21" s="36">
        <v>136</v>
      </c>
      <c r="C21" s="36">
        <v>150</v>
      </c>
      <c r="D21" s="39">
        <v>5000</v>
      </c>
      <c r="E21" s="37">
        <v>45468</v>
      </c>
      <c r="F21" s="36" t="s">
        <v>871</v>
      </c>
      <c r="G21" s="36" t="s">
        <v>872</v>
      </c>
    </row>
    <row r="22" spans="1:7" x14ac:dyDescent="0.3">
      <c r="A22" s="36">
        <v>21</v>
      </c>
      <c r="B22" s="36">
        <v>169</v>
      </c>
      <c r="C22" s="36">
        <v>170</v>
      </c>
      <c r="D22" s="39">
        <v>1000</v>
      </c>
      <c r="E22" s="37">
        <v>45483</v>
      </c>
      <c r="F22" s="36" t="s">
        <v>857</v>
      </c>
      <c r="G22" s="36" t="s">
        <v>858</v>
      </c>
    </row>
    <row r="23" spans="1:7" x14ac:dyDescent="0.3">
      <c r="A23" s="36">
        <v>22</v>
      </c>
      <c r="B23" s="36">
        <v>173</v>
      </c>
      <c r="C23" s="36">
        <v>172</v>
      </c>
      <c r="D23" s="39">
        <v>3000</v>
      </c>
      <c r="E23" s="37">
        <v>45485</v>
      </c>
      <c r="F23" s="36" t="s">
        <v>873</v>
      </c>
      <c r="G23" s="36" t="s">
        <v>858</v>
      </c>
    </row>
    <row r="24" spans="1:7" x14ac:dyDescent="0.3">
      <c r="A24" s="36">
        <v>23</v>
      </c>
      <c r="B24" s="36">
        <v>176</v>
      </c>
      <c r="C24" s="36">
        <v>175</v>
      </c>
      <c r="D24" s="39">
        <v>1500</v>
      </c>
      <c r="E24" s="37">
        <v>45488</v>
      </c>
      <c r="F24" s="36" t="s">
        <v>857</v>
      </c>
      <c r="G24" s="36" t="s">
        <v>858</v>
      </c>
    </row>
    <row r="25" spans="1:7" x14ac:dyDescent="0.3">
      <c r="A25" s="36">
        <v>24</v>
      </c>
      <c r="B25" s="36">
        <v>177</v>
      </c>
      <c r="C25" s="36">
        <v>178</v>
      </c>
      <c r="D25" s="39">
        <v>2000</v>
      </c>
      <c r="E25" s="37">
        <v>45491</v>
      </c>
      <c r="F25" s="36" t="s">
        <v>861</v>
      </c>
      <c r="G25" s="36" t="s">
        <v>858</v>
      </c>
    </row>
    <row r="26" spans="1:7" x14ac:dyDescent="0.3">
      <c r="A26" s="36">
        <v>25</v>
      </c>
      <c r="B26" s="36">
        <v>181</v>
      </c>
      <c r="C26" s="36">
        <v>180</v>
      </c>
      <c r="D26" s="39">
        <v>4000</v>
      </c>
      <c r="E26" s="37">
        <v>45493</v>
      </c>
      <c r="F26" s="36" t="s">
        <v>857</v>
      </c>
      <c r="G26" s="36" t="s">
        <v>858</v>
      </c>
    </row>
    <row r="27" spans="1:7" x14ac:dyDescent="0.3">
      <c r="A27" s="36">
        <v>26</v>
      </c>
      <c r="B27" s="36">
        <v>105</v>
      </c>
      <c r="C27" s="36">
        <v>173</v>
      </c>
      <c r="D27" s="39">
        <v>8000</v>
      </c>
      <c r="E27" s="37">
        <v>45495</v>
      </c>
      <c r="F27" s="36" t="s">
        <v>874</v>
      </c>
      <c r="G27" s="36" t="s">
        <v>858</v>
      </c>
    </row>
    <row r="28" spans="1:7" x14ac:dyDescent="0.3">
      <c r="A28" s="36">
        <v>27</v>
      </c>
      <c r="B28" s="36">
        <v>129</v>
      </c>
      <c r="C28" s="36">
        <v>181</v>
      </c>
      <c r="D28" s="39">
        <v>5000</v>
      </c>
      <c r="E28" s="37">
        <v>45498</v>
      </c>
      <c r="F28" s="36" t="s">
        <v>875</v>
      </c>
      <c r="G28" s="36" t="s">
        <v>858</v>
      </c>
    </row>
    <row r="29" spans="1:7" x14ac:dyDescent="0.3">
      <c r="A29" s="36">
        <v>28</v>
      </c>
      <c r="B29" s="36">
        <v>120</v>
      </c>
      <c r="C29" s="36">
        <v>173</v>
      </c>
      <c r="D29" s="39">
        <v>10000</v>
      </c>
      <c r="E29" s="37">
        <v>45501</v>
      </c>
      <c r="F29" s="36" t="s">
        <v>876</v>
      </c>
      <c r="G29" s="36" t="s">
        <v>858</v>
      </c>
    </row>
    <row r="30" spans="1:7" x14ac:dyDescent="0.3">
      <c r="A30" s="36">
        <v>29</v>
      </c>
      <c r="B30" s="36">
        <v>111</v>
      </c>
      <c r="C30" s="36">
        <v>129</v>
      </c>
      <c r="D30" s="39">
        <v>7000</v>
      </c>
      <c r="E30" s="37">
        <v>45505</v>
      </c>
      <c r="F30" s="36" t="s">
        <v>867</v>
      </c>
      <c r="G30" s="36" t="s">
        <v>858</v>
      </c>
    </row>
    <row r="31" spans="1:7" x14ac:dyDescent="0.3">
      <c r="A31" s="36">
        <v>30</v>
      </c>
      <c r="B31" s="36">
        <v>138</v>
      </c>
      <c r="C31" s="36">
        <v>173</v>
      </c>
      <c r="D31" s="39">
        <v>3000</v>
      </c>
      <c r="E31" s="37">
        <v>45507</v>
      </c>
      <c r="F31" s="36" t="s">
        <v>860</v>
      </c>
      <c r="G31" s="36" t="s">
        <v>858</v>
      </c>
    </row>
    <row r="32" spans="1:7" x14ac:dyDescent="0.3">
      <c r="A32" s="36">
        <v>31</v>
      </c>
      <c r="B32" s="36">
        <v>148</v>
      </c>
      <c r="C32" s="36">
        <v>181</v>
      </c>
      <c r="D32" s="39">
        <v>2500</v>
      </c>
      <c r="E32" s="37">
        <v>45509</v>
      </c>
      <c r="F32" s="36" t="s">
        <v>677</v>
      </c>
      <c r="G32" s="36" t="s">
        <v>858</v>
      </c>
    </row>
    <row r="33" spans="1:7" x14ac:dyDescent="0.3">
      <c r="A33" s="36">
        <v>32</v>
      </c>
      <c r="B33" s="36">
        <v>152</v>
      </c>
      <c r="C33" s="36">
        <v>177</v>
      </c>
      <c r="D33" s="39">
        <v>4500</v>
      </c>
      <c r="E33" s="37">
        <v>45512</v>
      </c>
      <c r="F33" s="36" t="s">
        <v>877</v>
      </c>
      <c r="G33" s="36" t="s">
        <v>858</v>
      </c>
    </row>
    <row r="34" spans="1:7" x14ac:dyDescent="0.3">
      <c r="A34" s="36">
        <v>33</v>
      </c>
      <c r="B34" s="36">
        <v>160</v>
      </c>
      <c r="C34" s="36">
        <v>173</v>
      </c>
      <c r="D34" s="39">
        <v>6000</v>
      </c>
      <c r="E34" s="37">
        <v>45514</v>
      </c>
      <c r="F34" s="36" t="s">
        <v>865</v>
      </c>
      <c r="G34" s="36" t="s">
        <v>858</v>
      </c>
    </row>
    <row r="35" spans="1:7" x14ac:dyDescent="0.3">
      <c r="A35" s="36">
        <v>34</v>
      </c>
      <c r="B35" s="36">
        <v>101</v>
      </c>
      <c r="C35" s="36">
        <v>169</v>
      </c>
      <c r="D35" s="39">
        <v>500</v>
      </c>
      <c r="E35" s="37">
        <v>45516</v>
      </c>
      <c r="F35" s="36" t="s">
        <v>869</v>
      </c>
      <c r="G35" s="36" t="s">
        <v>858</v>
      </c>
    </row>
    <row r="36" spans="1:7" x14ac:dyDescent="0.3">
      <c r="A36" s="36">
        <v>35</v>
      </c>
      <c r="B36" s="36">
        <v>103</v>
      </c>
      <c r="C36" s="36">
        <v>171</v>
      </c>
      <c r="D36" s="39">
        <v>1000</v>
      </c>
      <c r="E36" s="37">
        <v>45518</v>
      </c>
      <c r="F36" s="36" t="s">
        <v>878</v>
      </c>
      <c r="G36" s="36" t="s">
        <v>858</v>
      </c>
    </row>
    <row r="37" spans="1:7" x14ac:dyDescent="0.3">
      <c r="A37" s="36">
        <v>36</v>
      </c>
      <c r="B37" s="36">
        <v>107</v>
      </c>
      <c r="C37" s="36">
        <v>176</v>
      </c>
      <c r="D37" s="39">
        <v>2000</v>
      </c>
      <c r="E37" s="37">
        <v>45520</v>
      </c>
      <c r="F37" s="36" t="s">
        <v>870</v>
      </c>
      <c r="G37" s="36" t="s">
        <v>858</v>
      </c>
    </row>
    <row r="38" spans="1:7" x14ac:dyDescent="0.3">
      <c r="A38" s="36">
        <v>37</v>
      </c>
      <c r="B38" s="36">
        <v>109</v>
      </c>
      <c r="C38" s="36">
        <v>179</v>
      </c>
      <c r="D38" s="39">
        <v>800</v>
      </c>
      <c r="E38" s="37">
        <v>45522</v>
      </c>
      <c r="F38" s="36" t="s">
        <v>879</v>
      </c>
      <c r="G38" s="36" t="s">
        <v>858</v>
      </c>
    </row>
    <row r="39" spans="1:7" x14ac:dyDescent="0.3">
      <c r="A39" s="36">
        <v>38</v>
      </c>
      <c r="B39" s="36">
        <v>112</v>
      </c>
      <c r="C39" s="36">
        <v>170</v>
      </c>
      <c r="D39" s="39">
        <v>1500</v>
      </c>
      <c r="E39" s="37">
        <v>45524</v>
      </c>
      <c r="F39" s="36" t="s">
        <v>880</v>
      </c>
      <c r="G39" s="36" t="s">
        <v>858</v>
      </c>
    </row>
    <row r="40" spans="1:7" x14ac:dyDescent="0.3">
      <c r="A40" s="36">
        <v>39</v>
      </c>
      <c r="B40" s="36">
        <v>114</v>
      </c>
      <c r="C40" s="36">
        <v>169</v>
      </c>
      <c r="D40" s="39">
        <v>3000</v>
      </c>
      <c r="E40" s="37">
        <v>45526</v>
      </c>
      <c r="F40" s="36" t="s">
        <v>857</v>
      </c>
      <c r="G40" s="36" t="s">
        <v>858</v>
      </c>
    </row>
    <row r="41" spans="1:7" x14ac:dyDescent="0.3">
      <c r="A41" s="36">
        <v>40</v>
      </c>
      <c r="B41" s="36">
        <v>118</v>
      </c>
      <c r="C41" s="36">
        <v>173</v>
      </c>
      <c r="D41" s="39">
        <v>5000</v>
      </c>
      <c r="E41" s="37">
        <v>45528</v>
      </c>
      <c r="F41" s="36" t="s">
        <v>881</v>
      </c>
      <c r="G41" s="36" t="s">
        <v>868</v>
      </c>
    </row>
    <row r="42" spans="1:7" x14ac:dyDescent="0.3">
      <c r="A42" s="36">
        <v>41</v>
      </c>
      <c r="B42" s="36">
        <v>120</v>
      </c>
      <c r="C42" s="36">
        <v>176</v>
      </c>
      <c r="D42" s="39">
        <v>4000</v>
      </c>
      <c r="E42" s="37">
        <v>45530</v>
      </c>
      <c r="F42" s="36" t="s">
        <v>862</v>
      </c>
      <c r="G42" s="36" t="s">
        <v>858</v>
      </c>
    </row>
    <row r="43" spans="1:7" x14ac:dyDescent="0.3">
      <c r="A43" s="36">
        <v>42</v>
      </c>
      <c r="B43" s="36">
        <v>124</v>
      </c>
      <c r="C43" s="36">
        <v>181</v>
      </c>
      <c r="D43" s="39">
        <v>2000</v>
      </c>
      <c r="E43" s="37">
        <v>45532</v>
      </c>
      <c r="F43" s="36" t="s">
        <v>882</v>
      </c>
      <c r="G43" s="36" t="s">
        <v>858</v>
      </c>
    </row>
    <row r="44" spans="1:7" x14ac:dyDescent="0.3">
      <c r="A44" s="36">
        <v>43</v>
      </c>
      <c r="B44" s="36">
        <v>129</v>
      </c>
      <c r="C44" s="36">
        <v>173</v>
      </c>
      <c r="D44" s="39">
        <v>8000</v>
      </c>
      <c r="E44" s="37">
        <v>45536</v>
      </c>
      <c r="F44" s="36" t="s">
        <v>865</v>
      </c>
      <c r="G44" s="36" t="s">
        <v>858</v>
      </c>
    </row>
    <row r="45" spans="1:7" x14ac:dyDescent="0.3">
      <c r="A45" s="36">
        <v>44</v>
      </c>
      <c r="B45" s="36">
        <v>133</v>
      </c>
      <c r="C45" s="36">
        <v>172</v>
      </c>
      <c r="D45" s="39">
        <v>1500</v>
      </c>
      <c r="E45" s="37">
        <v>45538</v>
      </c>
      <c r="F45" s="36" t="s">
        <v>883</v>
      </c>
      <c r="G45" s="36" t="s">
        <v>858</v>
      </c>
    </row>
    <row r="46" spans="1:7" x14ac:dyDescent="0.3">
      <c r="A46" s="36">
        <v>45</v>
      </c>
      <c r="B46" s="36">
        <v>136</v>
      </c>
      <c r="C46" s="36">
        <v>181</v>
      </c>
      <c r="D46" s="39">
        <v>3500</v>
      </c>
      <c r="E46" s="37">
        <v>45540</v>
      </c>
      <c r="F46" s="36" t="s">
        <v>867</v>
      </c>
      <c r="G46" s="36" t="s">
        <v>858</v>
      </c>
    </row>
    <row r="47" spans="1:7" x14ac:dyDescent="0.3">
      <c r="A47" s="36">
        <v>46</v>
      </c>
      <c r="B47" s="36">
        <v>138</v>
      </c>
      <c r="C47" s="36">
        <v>129</v>
      </c>
      <c r="D47" s="39">
        <v>6000</v>
      </c>
      <c r="E47" s="37">
        <v>45543</v>
      </c>
      <c r="F47" s="36" t="s">
        <v>860</v>
      </c>
      <c r="G47" s="36" t="s">
        <v>858</v>
      </c>
    </row>
    <row r="48" spans="1:7" x14ac:dyDescent="0.3">
      <c r="A48" s="36">
        <v>47</v>
      </c>
      <c r="B48" s="36">
        <v>145</v>
      </c>
      <c r="C48" s="36">
        <v>177</v>
      </c>
      <c r="D48" s="39">
        <v>2000</v>
      </c>
      <c r="E48" s="37">
        <v>45545</v>
      </c>
      <c r="F48" s="36" t="s">
        <v>884</v>
      </c>
      <c r="G48" s="36" t="s">
        <v>858</v>
      </c>
    </row>
    <row r="49" spans="1:7" x14ac:dyDescent="0.3">
      <c r="A49" s="36">
        <v>48</v>
      </c>
      <c r="B49" s="36">
        <v>148</v>
      </c>
      <c r="C49" s="36">
        <v>173</v>
      </c>
      <c r="D49" s="39">
        <v>4000</v>
      </c>
      <c r="E49" s="37">
        <v>45547</v>
      </c>
      <c r="F49" s="36" t="s">
        <v>865</v>
      </c>
      <c r="G49" s="36" t="s">
        <v>858</v>
      </c>
    </row>
    <row r="50" spans="1:7" x14ac:dyDescent="0.3">
      <c r="A50" s="36">
        <v>49</v>
      </c>
      <c r="B50" s="36">
        <v>150</v>
      </c>
      <c r="C50" s="36">
        <v>176</v>
      </c>
      <c r="D50" s="39">
        <v>1000</v>
      </c>
      <c r="E50" s="37">
        <v>45550</v>
      </c>
      <c r="F50" s="36" t="s">
        <v>885</v>
      </c>
      <c r="G50" s="36" t="s">
        <v>858</v>
      </c>
    </row>
    <row r="51" spans="1:7" x14ac:dyDescent="0.3">
      <c r="A51" s="36">
        <v>50</v>
      </c>
      <c r="B51" s="36">
        <v>152</v>
      </c>
      <c r="C51" s="36">
        <v>181</v>
      </c>
      <c r="D51" s="39">
        <v>3000</v>
      </c>
      <c r="E51" s="37">
        <v>45553</v>
      </c>
      <c r="F51" s="36" t="s">
        <v>867</v>
      </c>
      <c r="G51" s="36" t="s">
        <v>872</v>
      </c>
    </row>
    <row r="52" spans="1:7" x14ac:dyDescent="0.3">
      <c r="A52" s="36">
        <v>51</v>
      </c>
      <c r="B52" s="36">
        <v>154</v>
      </c>
      <c r="C52" s="36">
        <v>172</v>
      </c>
      <c r="D52" s="39">
        <v>2500</v>
      </c>
      <c r="E52" s="37">
        <v>45555</v>
      </c>
      <c r="F52" s="36" t="s">
        <v>860</v>
      </c>
      <c r="G52" s="36" t="s">
        <v>858</v>
      </c>
    </row>
    <row r="53" spans="1:7" x14ac:dyDescent="0.3">
      <c r="A53" s="36">
        <v>52</v>
      </c>
      <c r="B53" s="36">
        <v>156</v>
      </c>
      <c r="C53" s="36">
        <v>169</v>
      </c>
      <c r="D53" s="39">
        <v>800</v>
      </c>
      <c r="E53" s="37">
        <v>45557</v>
      </c>
      <c r="F53" s="36" t="s">
        <v>886</v>
      </c>
      <c r="G53" s="36" t="s">
        <v>858</v>
      </c>
    </row>
    <row r="54" spans="1:7" x14ac:dyDescent="0.3">
      <c r="A54" s="36">
        <v>53</v>
      </c>
      <c r="B54" s="36">
        <v>158</v>
      </c>
      <c r="C54" s="36">
        <v>171</v>
      </c>
      <c r="D54" s="39">
        <v>1200</v>
      </c>
      <c r="E54" s="37">
        <v>45560</v>
      </c>
      <c r="F54" s="36" t="s">
        <v>887</v>
      </c>
      <c r="G54" s="36" t="s">
        <v>858</v>
      </c>
    </row>
    <row r="55" spans="1:7" x14ac:dyDescent="0.3">
      <c r="A55" s="36">
        <v>54</v>
      </c>
      <c r="B55" s="36">
        <v>160</v>
      </c>
      <c r="C55" s="36">
        <v>176</v>
      </c>
      <c r="D55" s="39">
        <v>5000</v>
      </c>
      <c r="E55" s="37">
        <v>45563</v>
      </c>
      <c r="F55" s="36" t="s">
        <v>876</v>
      </c>
      <c r="G55" s="36" t="s">
        <v>858</v>
      </c>
    </row>
    <row r="56" spans="1:7" x14ac:dyDescent="0.3">
      <c r="A56" s="36">
        <v>55</v>
      </c>
      <c r="B56" s="36">
        <v>162</v>
      </c>
      <c r="C56" s="36">
        <v>177</v>
      </c>
      <c r="D56" s="39">
        <v>3000</v>
      </c>
      <c r="E56" s="37">
        <v>45566</v>
      </c>
      <c r="F56" s="36" t="s">
        <v>864</v>
      </c>
      <c r="G56" s="36" t="s">
        <v>858</v>
      </c>
    </row>
    <row r="57" spans="1:7" x14ac:dyDescent="0.3">
      <c r="A57" s="36">
        <v>56</v>
      </c>
      <c r="B57" s="36">
        <v>164</v>
      </c>
      <c r="C57" s="36">
        <v>181</v>
      </c>
      <c r="D57" s="39">
        <v>4500</v>
      </c>
      <c r="E57" s="37">
        <v>45568</v>
      </c>
      <c r="F57" s="36" t="s">
        <v>875</v>
      </c>
      <c r="G57" s="36" t="s">
        <v>868</v>
      </c>
    </row>
    <row r="58" spans="1:7" x14ac:dyDescent="0.3">
      <c r="A58" s="36">
        <v>57</v>
      </c>
      <c r="B58" s="36">
        <v>166</v>
      </c>
      <c r="C58" s="36">
        <v>169</v>
      </c>
      <c r="D58" s="39">
        <v>2000</v>
      </c>
      <c r="E58" s="37">
        <v>45570</v>
      </c>
      <c r="F58" s="36" t="s">
        <v>888</v>
      </c>
      <c r="G58" s="36" t="s">
        <v>858</v>
      </c>
    </row>
    <row r="59" spans="1:7" x14ac:dyDescent="0.3">
      <c r="A59" s="36">
        <v>58</v>
      </c>
      <c r="B59" s="36">
        <v>101</v>
      </c>
      <c r="C59" s="36">
        <v>171</v>
      </c>
      <c r="D59" s="39">
        <v>700</v>
      </c>
      <c r="E59" s="37">
        <v>45573</v>
      </c>
      <c r="F59" s="36" t="s">
        <v>889</v>
      </c>
      <c r="G59" s="36" t="s">
        <v>858</v>
      </c>
    </row>
    <row r="60" spans="1:7" x14ac:dyDescent="0.3">
      <c r="A60" s="36">
        <v>59</v>
      </c>
      <c r="B60" s="36">
        <v>105</v>
      </c>
      <c r="C60" s="36">
        <v>176</v>
      </c>
      <c r="D60" s="39">
        <v>9000</v>
      </c>
      <c r="E60" s="37">
        <v>45575</v>
      </c>
      <c r="F60" s="36" t="s">
        <v>881</v>
      </c>
      <c r="G60" s="36" t="s">
        <v>858</v>
      </c>
    </row>
    <row r="61" spans="1:7" x14ac:dyDescent="0.3">
      <c r="A61" s="36">
        <v>60</v>
      </c>
      <c r="B61" s="36">
        <v>111</v>
      </c>
      <c r="C61" s="36">
        <v>173</v>
      </c>
      <c r="D61" s="39">
        <v>5000</v>
      </c>
      <c r="E61" s="37">
        <v>45577</v>
      </c>
      <c r="F61" s="36" t="s">
        <v>890</v>
      </c>
      <c r="G61" s="36" t="s">
        <v>858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13" customWidth="1"/>
    <col min="3" max="3" width="20" customWidth="1"/>
    <col min="4" max="4" width="16" customWidth="1"/>
    <col min="5" max="5" width="15" customWidth="1"/>
    <col min="6" max="6" width="12" customWidth="1"/>
    <col min="7" max="7" width="14" customWidth="1"/>
  </cols>
  <sheetData>
    <row r="1" spans="1:7" ht="24" customHeight="1" x14ac:dyDescent="0.3">
      <c r="A1" s="23" t="s">
        <v>307</v>
      </c>
      <c r="B1" s="23" t="s">
        <v>294</v>
      </c>
      <c r="C1" s="23" t="s">
        <v>891</v>
      </c>
      <c r="D1" s="23" t="s">
        <v>892</v>
      </c>
      <c r="E1" s="23" t="s">
        <v>893</v>
      </c>
      <c r="F1" s="23" t="s">
        <v>894</v>
      </c>
      <c r="G1" s="23" t="s">
        <v>895</v>
      </c>
    </row>
    <row r="2" spans="1:7" x14ac:dyDescent="0.3">
      <c r="A2" s="36">
        <v>1</v>
      </c>
      <c r="B2" s="36">
        <v>1</v>
      </c>
      <c r="C2" s="36" t="s">
        <v>896</v>
      </c>
      <c r="D2" s="36" t="s">
        <v>897</v>
      </c>
      <c r="E2" s="36" t="s">
        <v>898</v>
      </c>
      <c r="F2" s="36" t="s">
        <v>431</v>
      </c>
      <c r="G2" s="37">
        <v>44228</v>
      </c>
    </row>
    <row r="3" spans="1:7" x14ac:dyDescent="0.3">
      <c r="A3" s="36">
        <v>2</v>
      </c>
      <c r="B3" s="36">
        <v>1</v>
      </c>
      <c r="C3" s="36" t="s">
        <v>899</v>
      </c>
      <c r="D3" s="36" t="s">
        <v>900</v>
      </c>
      <c r="E3" s="36" t="s">
        <v>901</v>
      </c>
      <c r="F3" s="36" t="s">
        <v>902</v>
      </c>
      <c r="G3" s="37">
        <v>44270</v>
      </c>
    </row>
    <row r="4" spans="1:7" x14ac:dyDescent="0.3">
      <c r="A4" s="36">
        <v>3</v>
      </c>
      <c r="B4" s="36">
        <v>2</v>
      </c>
      <c r="C4" s="36" t="s">
        <v>903</v>
      </c>
      <c r="D4" s="36" t="s">
        <v>904</v>
      </c>
      <c r="E4" s="36" t="s">
        <v>898</v>
      </c>
      <c r="F4" s="36" t="s">
        <v>427</v>
      </c>
      <c r="G4" s="37">
        <v>44237</v>
      </c>
    </row>
    <row r="5" spans="1:7" x14ac:dyDescent="0.3">
      <c r="A5" s="36">
        <v>4</v>
      </c>
      <c r="B5" s="36">
        <v>2</v>
      </c>
      <c r="C5" s="36" t="s">
        <v>905</v>
      </c>
      <c r="D5" s="36" t="s">
        <v>906</v>
      </c>
      <c r="E5" s="36" t="s">
        <v>907</v>
      </c>
      <c r="F5" s="36" t="s">
        <v>908</v>
      </c>
      <c r="G5" s="37">
        <v>43831</v>
      </c>
    </row>
    <row r="6" spans="1:7" x14ac:dyDescent="0.3">
      <c r="A6" s="36">
        <v>5</v>
      </c>
      <c r="B6" s="36">
        <v>4</v>
      </c>
      <c r="C6" s="36" t="s">
        <v>909</v>
      </c>
      <c r="D6" s="36" t="s">
        <v>910</v>
      </c>
      <c r="E6" s="36" t="s">
        <v>911</v>
      </c>
      <c r="F6" s="36" t="s">
        <v>912</v>
      </c>
      <c r="G6" s="37">
        <v>43586</v>
      </c>
    </row>
    <row r="7" spans="1:7" x14ac:dyDescent="0.3">
      <c r="A7" s="36">
        <v>6</v>
      </c>
      <c r="B7" s="36">
        <v>4</v>
      </c>
      <c r="C7" s="36" t="s">
        <v>913</v>
      </c>
      <c r="D7" s="36" t="s">
        <v>914</v>
      </c>
      <c r="E7" s="36" t="s">
        <v>915</v>
      </c>
      <c r="F7" s="36" t="s">
        <v>916</v>
      </c>
      <c r="G7" s="37">
        <v>43544</v>
      </c>
    </row>
    <row r="8" spans="1:7" x14ac:dyDescent="0.3">
      <c r="A8" s="36">
        <v>7</v>
      </c>
      <c r="B8" s="36">
        <v>10</v>
      </c>
      <c r="C8" s="36" t="s">
        <v>917</v>
      </c>
      <c r="D8" s="36" t="s">
        <v>918</v>
      </c>
      <c r="E8" s="36" t="s">
        <v>919</v>
      </c>
      <c r="F8" s="36" t="s">
        <v>912</v>
      </c>
      <c r="G8" s="37">
        <v>43374</v>
      </c>
    </row>
    <row r="9" spans="1:7" x14ac:dyDescent="0.3">
      <c r="A9" s="36">
        <v>8</v>
      </c>
      <c r="B9" s="36">
        <v>10</v>
      </c>
      <c r="C9" s="36" t="s">
        <v>920</v>
      </c>
      <c r="D9" s="36" t="s">
        <v>921</v>
      </c>
      <c r="E9" s="36" t="s">
        <v>922</v>
      </c>
      <c r="F9" s="36" t="s">
        <v>923</v>
      </c>
      <c r="G9" s="37">
        <v>43480</v>
      </c>
    </row>
    <row r="10" spans="1:7" x14ac:dyDescent="0.3">
      <c r="A10" s="36">
        <v>9</v>
      </c>
      <c r="B10" s="36">
        <v>15</v>
      </c>
      <c r="C10" s="36" t="s">
        <v>924</v>
      </c>
      <c r="D10" s="36" t="s">
        <v>925</v>
      </c>
      <c r="E10" s="36" t="s">
        <v>926</v>
      </c>
      <c r="F10" s="36" t="s">
        <v>927</v>
      </c>
      <c r="G10" s="37">
        <v>43282</v>
      </c>
    </row>
    <row r="11" spans="1:7" x14ac:dyDescent="0.3">
      <c r="A11" s="36">
        <v>10</v>
      </c>
      <c r="B11" s="36">
        <v>21</v>
      </c>
      <c r="C11" s="36" t="s">
        <v>928</v>
      </c>
      <c r="D11" s="36" t="s">
        <v>929</v>
      </c>
      <c r="E11" s="36" t="s">
        <v>930</v>
      </c>
      <c r="F11" s="36" t="s">
        <v>881</v>
      </c>
      <c r="G11" s="37">
        <v>43191</v>
      </c>
    </row>
    <row r="12" spans="1:7" x14ac:dyDescent="0.3">
      <c r="A12" s="36">
        <v>11</v>
      </c>
      <c r="B12" s="36">
        <v>21</v>
      </c>
      <c r="C12" s="36" t="s">
        <v>931</v>
      </c>
      <c r="D12" s="36" t="s">
        <v>932</v>
      </c>
      <c r="E12" s="36" t="s">
        <v>919</v>
      </c>
      <c r="F12" s="36" t="s">
        <v>933</v>
      </c>
      <c r="G12" s="37">
        <v>43617</v>
      </c>
    </row>
    <row r="13" spans="1:7" x14ac:dyDescent="0.3">
      <c r="A13" s="36">
        <v>12</v>
      </c>
      <c r="B13" s="36">
        <v>27</v>
      </c>
      <c r="C13" s="36" t="s">
        <v>934</v>
      </c>
      <c r="D13" s="36" t="s">
        <v>935</v>
      </c>
      <c r="E13" s="36" t="s">
        <v>936</v>
      </c>
      <c r="F13" s="36" t="s">
        <v>937</v>
      </c>
      <c r="G13" s="37">
        <v>43739</v>
      </c>
    </row>
    <row r="14" spans="1:7" x14ac:dyDescent="0.3">
      <c r="A14" s="36">
        <v>13</v>
      </c>
      <c r="B14" s="36">
        <v>34</v>
      </c>
      <c r="C14" s="36" t="s">
        <v>938</v>
      </c>
      <c r="D14" s="36" t="s">
        <v>939</v>
      </c>
      <c r="E14" s="36" t="s">
        <v>922</v>
      </c>
      <c r="F14" s="36" t="s">
        <v>923</v>
      </c>
      <c r="G14" s="37">
        <v>43800</v>
      </c>
    </row>
    <row r="15" spans="1:7" x14ac:dyDescent="0.3">
      <c r="A15" s="36">
        <v>14</v>
      </c>
      <c r="B15" s="36">
        <v>6</v>
      </c>
      <c r="C15" s="36" t="s">
        <v>940</v>
      </c>
      <c r="D15" s="36" t="s">
        <v>941</v>
      </c>
      <c r="E15" s="36" t="s">
        <v>942</v>
      </c>
      <c r="F15" s="36" t="s">
        <v>943</v>
      </c>
      <c r="G15" s="37">
        <v>44197</v>
      </c>
    </row>
    <row r="16" spans="1:7" x14ac:dyDescent="0.3">
      <c r="A16" s="36">
        <v>15</v>
      </c>
      <c r="B16" s="36">
        <v>8</v>
      </c>
      <c r="C16" s="36" t="s">
        <v>924</v>
      </c>
      <c r="D16" s="36" t="s">
        <v>944</v>
      </c>
      <c r="E16" s="36" t="s">
        <v>926</v>
      </c>
      <c r="F16" s="36" t="s">
        <v>927</v>
      </c>
      <c r="G16" s="37">
        <v>44044</v>
      </c>
    </row>
    <row r="17" spans="1:7" x14ac:dyDescent="0.3">
      <c r="A17" s="36">
        <v>16</v>
      </c>
      <c r="B17" s="36">
        <v>3</v>
      </c>
      <c r="C17" s="36" t="s">
        <v>945</v>
      </c>
      <c r="D17" s="36" t="s">
        <v>946</v>
      </c>
      <c r="E17" s="36" t="s">
        <v>947</v>
      </c>
      <c r="F17" s="36" t="s">
        <v>948</v>
      </c>
      <c r="G17" s="37">
        <v>44562</v>
      </c>
    </row>
    <row r="18" spans="1:7" x14ac:dyDescent="0.3">
      <c r="A18" s="36">
        <v>17</v>
      </c>
      <c r="B18" s="36">
        <v>5</v>
      </c>
      <c r="C18" s="36" t="s">
        <v>949</v>
      </c>
      <c r="D18" s="36" t="s">
        <v>950</v>
      </c>
      <c r="E18" s="36" t="s">
        <v>951</v>
      </c>
      <c r="F18" s="36" t="s">
        <v>952</v>
      </c>
      <c r="G18" s="37">
        <v>44682</v>
      </c>
    </row>
    <row r="19" spans="1:7" x14ac:dyDescent="0.3">
      <c r="A19" s="36">
        <v>18</v>
      </c>
      <c r="B19" s="36">
        <v>9</v>
      </c>
      <c r="C19" s="36" t="s">
        <v>953</v>
      </c>
      <c r="D19" s="36" t="s">
        <v>954</v>
      </c>
      <c r="E19" s="36" t="s">
        <v>901</v>
      </c>
      <c r="F19" s="36" t="s">
        <v>955</v>
      </c>
      <c r="G19" s="37">
        <v>44958</v>
      </c>
    </row>
    <row r="20" spans="1:7" x14ac:dyDescent="0.3">
      <c r="A20" s="36">
        <v>19</v>
      </c>
      <c r="B20" s="36">
        <v>7</v>
      </c>
      <c r="C20" s="36" t="s">
        <v>956</v>
      </c>
      <c r="D20" s="36" t="s">
        <v>957</v>
      </c>
      <c r="E20" s="36" t="s">
        <v>958</v>
      </c>
      <c r="F20" s="36" t="s">
        <v>959</v>
      </c>
      <c r="G20" s="37">
        <v>44562</v>
      </c>
    </row>
    <row r="21" spans="1:7" x14ac:dyDescent="0.3">
      <c r="A21" s="36">
        <v>20</v>
      </c>
      <c r="B21" s="36">
        <v>11</v>
      </c>
      <c r="C21" s="36" t="s">
        <v>905</v>
      </c>
      <c r="D21" s="36" t="s">
        <v>960</v>
      </c>
      <c r="E21" s="36" t="s">
        <v>907</v>
      </c>
      <c r="F21" s="36" t="s">
        <v>908</v>
      </c>
      <c r="G21" s="37">
        <v>44287</v>
      </c>
    </row>
    <row r="22" spans="1:7" x14ac:dyDescent="0.3">
      <c r="A22" s="36">
        <v>21</v>
      </c>
      <c r="B22" s="36">
        <v>13</v>
      </c>
      <c r="C22" s="36" t="s">
        <v>961</v>
      </c>
      <c r="D22" s="36" t="s">
        <v>962</v>
      </c>
      <c r="E22" s="36" t="s">
        <v>911</v>
      </c>
      <c r="F22" s="36" t="s">
        <v>963</v>
      </c>
      <c r="G22" s="37">
        <v>43800</v>
      </c>
    </row>
    <row r="23" spans="1:7" x14ac:dyDescent="0.3">
      <c r="A23" s="36">
        <v>22</v>
      </c>
      <c r="B23" s="36">
        <v>15</v>
      </c>
      <c r="C23" s="36" t="s">
        <v>964</v>
      </c>
      <c r="D23" s="36" t="s">
        <v>965</v>
      </c>
      <c r="E23" s="36" t="s">
        <v>922</v>
      </c>
      <c r="F23" s="36" t="s">
        <v>966</v>
      </c>
      <c r="G23" s="37">
        <v>43313</v>
      </c>
    </row>
    <row r="24" spans="1:7" x14ac:dyDescent="0.3">
      <c r="A24" s="36">
        <v>23</v>
      </c>
      <c r="B24" s="36">
        <v>17</v>
      </c>
      <c r="C24" s="36" t="s">
        <v>924</v>
      </c>
      <c r="D24" s="36" t="s">
        <v>967</v>
      </c>
      <c r="E24" s="36" t="s">
        <v>926</v>
      </c>
      <c r="F24" s="36" t="s">
        <v>927</v>
      </c>
      <c r="G24" s="37">
        <v>43952</v>
      </c>
    </row>
    <row r="25" spans="1:7" x14ac:dyDescent="0.3">
      <c r="A25" s="36">
        <v>24</v>
      </c>
      <c r="B25" s="36">
        <v>21</v>
      </c>
      <c r="C25" s="36" t="s">
        <v>968</v>
      </c>
      <c r="D25" s="36" t="s">
        <v>969</v>
      </c>
      <c r="E25" s="36" t="s">
        <v>919</v>
      </c>
      <c r="F25" s="36" t="s">
        <v>970</v>
      </c>
      <c r="G25" s="37">
        <v>43221</v>
      </c>
    </row>
    <row r="26" spans="1:7" x14ac:dyDescent="0.3">
      <c r="A26" s="36">
        <v>25</v>
      </c>
      <c r="B26" s="36">
        <v>23</v>
      </c>
      <c r="C26" s="36" t="s">
        <v>971</v>
      </c>
      <c r="D26" s="36" t="s">
        <v>972</v>
      </c>
      <c r="E26" s="36" t="s">
        <v>973</v>
      </c>
      <c r="F26" s="36" t="s">
        <v>971</v>
      </c>
      <c r="G26" s="37">
        <v>43556</v>
      </c>
    </row>
    <row r="27" spans="1:7" x14ac:dyDescent="0.3">
      <c r="A27" s="36">
        <v>26</v>
      </c>
      <c r="B27" s="36">
        <v>25</v>
      </c>
      <c r="C27" s="36" t="s">
        <v>905</v>
      </c>
      <c r="D27" s="36" t="s">
        <v>974</v>
      </c>
      <c r="E27" s="36" t="s">
        <v>936</v>
      </c>
      <c r="F27" s="36" t="s">
        <v>908</v>
      </c>
      <c r="G27" s="37">
        <v>44013</v>
      </c>
    </row>
    <row r="28" spans="1:7" x14ac:dyDescent="0.3">
      <c r="A28" s="36">
        <v>27</v>
      </c>
      <c r="B28" s="36">
        <v>27</v>
      </c>
      <c r="C28" s="36" t="s">
        <v>963</v>
      </c>
      <c r="D28" s="36" t="s">
        <v>975</v>
      </c>
      <c r="E28" s="36" t="s">
        <v>911</v>
      </c>
      <c r="F28" s="36" t="s">
        <v>963</v>
      </c>
      <c r="G28" s="37">
        <v>43770</v>
      </c>
    </row>
    <row r="29" spans="1:7" x14ac:dyDescent="0.3">
      <c r="A29" s="36">
        <v>28</v>
      </c>
      <c r="B29" s="36">
        <v>29</v>
      </c>
      <c r="C29" s="36" t="s">
        <v>940</v>
      </c>
      <c r="D29" s="36" t="s">
        <v>976</v>
      </c>
      <c r="E29" s="36" t="s">
        <v>942</v>
      </c>
      <c r="F29" s="36" t="s">
        <v>943</v>
      </c>
      <c r="G29" s="37">
        <v>44075</v>
      </c>
    </row>
    <row r="30" spans="1:7" x14ac:dyDescent="0.3">
      <c r="A30" s="36">
        <v>29</v>
      </c>
      <c r="B30" s="36">
        <v>31</v>
      </c>
      <c r="C30" s="36" t="s">
        <v>949</v>
      </c>
      <c r="D30" s="36" t="s">
        <v>977</v>
      </c>
      <c r="E30" s="36" t="s">
        <v>951</v>
      </c>
      <c r="F30" s="36" t="s">
        <v>978</v>
      </c>
      <c r="G30" s="37">
        <v>43497</v>
      </c>
    </row>
    <row r="31" spans="1:7" x14ac:dyDescent="0.3">
      <c r="A31" s="36">
        <v>30</v>
      </c>
      <c r="B31" s="36">
        <v>34</v>
      </c>
      <c r="C31" s="36" t="s">
        <v>979</v>
      </c>
      <c r="D31" s="36" t="s">
        <v>980</v>
      </c>
      <c r="E31" s="36" t="s">
        <v>915</v>
      </c>
      <c r="F31" s="36" t="s">
        <v>916</v>
      </c>
      <c r="G31" s="37">
        <v>43800</v>
      </c>
    </row>
    <row r="32" spans="1:7" x14ac:dyDescent="0.3">
      <c r="A32" s="36">
        <v>31</v>
      </c>
      <c r="B32" s="36">
        <v>36</v>
      </c>
      <c r="C32" s="36" t="s">
        <v>981</v>
      </c>
      <c r="D32" s="36" t="s">
        <v>982</v>
      </c>
      <c r="E32" s="36" t="s">
        <v>919</v>
      </c>
      <c r="F32" s="36" t="s">
        <v>933</v>
      </c>
      <c r="G32" s="37">
        <v>44105</v>
      </c>
    </row>
    <row r="33" spans="1:7" x14ac:dyDescent="0.3">
      <c r="A33" s="36">
        <v>32</v>
      </c>
      <c r="B33" s="36">
        <v>37</v>
      </c>
      <c r="C33" s="36" t="s">
        <v>940</v>
      </c>
      <c r="D33" s="36" t="s">
        <v>983</v>
      </c>
      <c r="E33" s="36" t="s">
        <v>942</v>
      </c>
      <c r="F33" s="36" t="s">
        <v>943</v>
      </c>
      <c r="G33" s="37">
        <v>43344</v>
      </c>
    </row>
    <row r="34" spans="1:7" x14ac:dyDescent="0.3">
      <c r="A34" s="36">
        <v>33</v>
      </c>
      <c r="B34" s="36">
        <v>39</v>
      </c>
      <c r="C34" s="36" t="s">
        <v>955</v>
      </c>
      <c r="D34" s="36" t="s">
        <v>984</v>
      </c>
      <c r="E34" s="36" t="s">
        <v>901</v>
      </c>
      <c r="F34" s="36" t="s">
        <v>955</v>
      </c>
      <c r="G34" s="37">
        <v>43983</v>
      </c>
    </row>
    <row r="35" spans="1:7" x14ac:dyDescent="0.3">
      <c r="A35" s="36">
        <v>34</v>
      </c>
      <c r="B35" s="36">
        <v>41</v>
      </c>
      <c r="C35" s="36" t="s">
        <v>905</v>
      </c>
      <c r="D35" s="36" t="s">
        <v>985</v>
      </c>
      <c r="E35" s="36" t="s">
        <v>907</v>
      </c>
      <c r="F35" s="36" t="s">
        <v>908</v>
      </c>
      <c r="G35" s="37">
        <v>43525</v>
      </c>
    </row>
    <row r="36" spans="1:7" x14ac:dyDescent="0.3">
      <c r="A36" s="36">
        <v>35</v>
      </c>
      <c r="B36" s="36">
        <v>43</v>
      </c>
      <c r="C36" s="36" t="s">
        <v>949</v>
      </c>
      <c r="D36" s="36" t="s">
        <v>986</v>
      </c>
      <c r="E36" s="36" t="s">
        <v>951</v>
      </c>
      <c r="F36" s="36" t="s">
        <v>952</v>
      </c>
      <c r="G36" s="37">
        <v>44197</v>
      </c>
    </row>
    <row r="37" spans="1:7" x14ac:dyDescent="0.3">
      <c r="A37" s="36">
        <v>36</v>
      </c>
      <c r="B37" s="36">
        <v>44</v>
      </c>
      <c r="C37" s="36" t="s">
        <v>909</v>
      </c>
      <c r="D37" s="36" t="s">
        <v>987</v>
      </c>
      <c r="E37" s="36" t="s">
        <v>911</v>
      </c>
      <c r="F37" s="36" t="s">
        <v>988</v>
      </c>
      <c r="G37" s="37">
        <v>43282</v>
      </c>
    </row>
    <row r="38" spans="1:7" x14ac:dyDescent="0.3">
      <c r="A38" s="36">
        <v>37</v>
      </c>
      <c r="B38" s="36">
        <v>46</v>
      </c>
      <c r="C38" s="36" t="s">
        <v>924</v>
      </c>
      <c r="D38" s="36" t="s">
        <v>989</v>
      </c>
      <c r="E38" s="36" t="s">
        <v>926</v>
      </c>
      <c r="F38" s="36" t="s">
        <v>927</v>
      </c>
      <c r="G38" s="37">
        <v>43617</v>
      </c>
    </row>
    <row r="39" spans="1:7" x14ac:dyDescent="0.3">
      <c r="A39" s="36">
        <v>38</v>
      </c>
      <c r="B39" s="36">
        <v>48</v>
      </c>
      <c r="C39" s="36" t="s">
        <v>938</v>
      </c>
      <c r="D39" s="36" t="s">
        <v>990</v>
      </c>
      <c r="E39" s="36" t="s">
        <v>922</v>
      </c>
      <c r="F39" s="36" t="s">
        <v>867</v>
      </c>
      <c r="G39" s="37">
        <v>43891</v>
      </c>
    </row>
    <row r="40" spans="1:7" x14ac:dyDescent="0.3">
      <c r="A40" s="36">
        <v>39</v>
      </c>
      <c r="B40" s="36">
        <v>51</v>
      </c>
      <c r="C40" s="36" t="s">
        <v>924</v>
      </c>
      <c r="D40" s="36" t="s">
        <v>991</v>
      </c>
      <c r="E40" s="36" t="s">
        <v>926</v>
      </c>
      <c r="F40" s="36" t="s">
        <v>927</v>
      </c>
      <c r="G40" s="37">
        <v>44348</v>
      </c>
    </row>
    <row r="41" spans="1:7" x14ac:dyDescent="0.3">
      <c r="A41" s="36">
        <v>40</v>
      </c>
      <c r="B41" s="36">
        <v>52</v>
      </c>
      <c r="C41" s="36" t="s">
        <v>949</v>
      </c>
      <c r="D41" s="36" t="s">
        <v>992</v>
      </c>
      <c r="E41" s="36" t="s">
        <v>951</v>
      </c>
      <c r="F41" s="36" t="s">
        <v>978</v>
      </c>
      <c r="G41" s="37">
        <v>44470</v>
      </c>
    </row>
    <row r="42" spans="1:7" x14ac:dyDescent="0.3">
      <c r="A42" s="36">
        <v>41</v>
      </c>
      <c r="B42" s="36">
        <v>53</v>
      </c>
      <c r="C42" s="36" t="s">
        <v>934</v>
      </c>
      <c r="D42" s="36" t="s">
        <v>993</v>
      </c>
      <c r="E42" s="36" t="s">
        <v>936</v>
      </c>
      <c r="F42" s="36" t="s">
        <v>937</v>
      </c>
      <c r="G42" s="37">
        <v>43586</v>
      </c>
    </row>
    <row r="43" spans="1:7" x14ac:dyDescent="0.3">
      <c r="A43" s="36">
        <v>42</v>
      </c>
      <c r="B43" s="36">
        <v>53</v>
      </c>
      <c r="C43" s="36" t="s">
        <v>994</v>
      </c>
      <c r="D43" s="36" t="s">
        <v>995</v>
      </c>
      <c r="E43" s="36" t="s">
        <v>919</v>
      </c>
      <c r="F43" s="36" t="s">
        <v>994</v>
      </c>
      <c r="G43" s="37">
        <v>43831</v>
      </c>
    </row>
    <row r="44" spans="1:7" x14ac:dyDescent="0.3">
      <c r="A44" s="36">
        <v>43</v>
      </c>
      <c r="B44" s="36">
        <v>54</v>
      </c>
      <c r="C44" s="36" t="s">
        <v>945</v>
      </c>
      <c r="D44" s="36" t="s">
        <v>996</v>
      </c>
      <c r="E44" s="36" t="s">
        <v>947</v>
      </c>
      <c r="F44" s="36" t="s">
        <v>948</v>
      </c>
      <c r="G44" s="37">
        <v>44621</v>
      </c>
    </row>
    <row r="45" spans="1:7" x14ac:dyDescent="0.3">
      <c r="A45" s="36">
        <v>44</v>
      </c>
      <c r="B45" s="36">
        <v>55</v>
      </c>
      <c r="C45" s="36" t="s">
        <v>949</v>
      </c>
      <c r="D45" s="36" t="s">
        <v>997</v>
      </c>
      <c r="E45" s="36" t="s">
        <v>951</v>
      </c>
      <c r="F45" s="36" t="s">
        <v>952</v>
      </c>
      <c r="G45" s="37">
        <v>44440</v>
      </c>
    </row>
    <row r="46" spans="1:7" x14ac:dyDescent="0.3">
      <c r="A46" s="36">
        <v>45</v>
      </c>
      <c r="B46" s="36">
        <v>56</v>
      </c>
      <c r="C46" s="36" t="s">
        <v>924</v>
      </c>
      <c r="D46" s="36" t="s">
        <v>998</v>
      </c>
      <c r="E46" s="36" t="s">
        <v>926</v>
      </c>
      <c r="F46" s="36" t="s">
        <v>927</v>
      </c>
      <c r="G46" s="37">
        <v>44166</v>
      </c>
    </row>
    <row r="47" spans="1:7" x14ac:dyDescent="0.3">
      <c r="A47" s="36">
        <v>46</v>
      </c>
      <c r="B47" s="36">
        <v>57</v>
      </c>
      <c r="C47" s="36" t="s">
        <v>934</v>
      </c>
      <c r="D47" s="36" t="s">
        <v>999</v>
      </c>
      <c r="E47" s="36" t="s">
        <v>936</v>
      </c>
      <c r="F47" s="36" t="s">
        <v>937</v>
      </c>
      <c r="G47" s="37">
        <v>43344</v>
      </c>
    </row>
    <row r="48" spans="1:7" x14ac:dyDescent="0.3">
      <c r="A48" s="36">
        <v>47</v>
      </c>
      <c r="B48" s="36">
        <v>58</v>
      </c>
      <c r="C48" s="36" t="s">
        <v>955</v>
      </c>
      <c r="D48" s="36" t="s">
        <v>1000</v>
      </c>
      <c r="E48" s="36" t="s">
        <v>901</v>
      </c>
      <c r="F48" s="36" t="s">
        <v>955</v>
      </c>
      <c r="G48" s="37">
        <v>44682</v>
      </c>
    </row>
    <row r="49" spans="1:7" x14ac:dyDescent="0.3">
      <c r="A49" s="36">
        <v>48</v>
      </c>
      <c r="B49" s="36">
        <v>59</v>
      </c>
      <c r="C49" s="36" t="s">
        <v>938</v>
      </c>
      <c r="D49" s="36" t="s">
        <v>1001</v>
      </c>
      <c r="E49" s="36" t="s">
        <v>922</v>
      </c>
      <c r="F49" s="36" t="s">
        <v>867</v>
      </c>
      <c r="G49" s="37">
        <v>43800</v>
      </c>
    </row>
    <row r="50" spans="1:7" x14ac:dyDescent="0.3">
      <c r="A50" s="36">
        <v>49</v>
      </c>
      <c r="B50" s="36">
        <v>60</v>
      </c>
      <c r="C50" s="36" t="s">
        <v>949</v>
      </c>
      <c r="D50" s="36" t="s">
        <v>1002</v>
      </c>
      <c r="E50" s="36" t="s">
        <v>951</v>
      </c>
      <c r="F50" s="36" t="s">
        <v>952</v>
      </c>
      <c r="G50" s="37">
        <v>44562</v>
      </c>
    </row>
    <row r="51" spans="1:7" x14ac:dyDescent="0.3">
      <c r="A51" s="36">
        <v>50</v>
      </c>
      <c r="B51" s="36">
        <v>1</v>
      </c>
      <c r="C51" s="36" t="s">
        <v>1003</v>
      </c>
      <c r="D51" s="36" t="s">
        <v>1004</v>
      </c>
      <c r="E51" s="36" t="s">
        <v>898</v>
      </c>
      <c r="F51" s="36" t="s">
        <v>435</v>
      </c>
      <c r="G51" s="37">
        <v>44621</v>
      </c>
    </row>
    <row r="52" spans="1:7" x14ac:dyDescent="0.3">
      <c r="A52" s="36">
        <v>51</v>
      </c>
      <c r="B52" s="36">
        <v>2</v>
      </c>
      <c r="C52" s="36" t="s">
        <v>198</v>
      </c>
      <c r="D52" s="36" t="s">
        <v>1005</v>
      </c>
      <c r="E52" s="36" t="s">
        <v>898</v>
      </c>
      <c r="F52" s="36" t="s">
        <v>439</v>
      </c>
      <c r="G52" s="37">
        <v>44409</v>
      </c>
    </row>
    <row r="53" spans="1:7" x14ac:dyDescent="0.3">
      <c r="A53" s="36">
        <v>52</v>
      </c>
      <c r="B53" s="36">
        <v>3</v>
      </c>
      <c r="C53" s="36" t="s">
        <v>193</v>
      </c>
      <c r="D53" s="36" t="s">
        <v>1006</v>
      </c>
      <c r="E53" s="36" t="s">
        <v>898</v>
      </c>
      <c r="F53" s="36" t="s">
        <v>463</v>
      </c>
      <c r="G53" s="37">
        <v>44958</v>
      </c>
    </row>
    <row r="54" spans="1:7" x14ac:dyDescent="0.3">
      <c r="A54" s="36">
        <v>53</v>
      </c>
      <c r="B54" s="36">
        <v>5</v>
      </c>
      <c r="C54" s="36" t="s">
        <v>903</v>
      </c>
      <c r="D54" s="36" t="s">
        <v>904</v>
      </c>
      <c r="E54" s="36" t="s">
        <v>898</v>
      </c>
      <c r="F54" s="36" t="s">
        <v>427</v>
      </c>
      <c r="G54" s="37">
        <v>44713</v>
      </c>
    </row>
    <row r="55" spans="1:7" x14ac:dyDescent="0.3">
      <c r="A55" s="36">
        <v>54</v>
      </c>
      <c r="B55" s="36">
        <v>7</v>
      </c>
      <c r="C55" s="36" t="s">
        <v>896</v>
      </c>
      <c r="D55" s="36" t="s">
        <v>897</v>
      </c>
      <c r="E55" s="36" t="s">
        <v>898</v>
      </c>
      <c r="F55" s="36" t="s">
        <v>431</v>
      </c>
      <c r="G55" s="37">
        <v>44774</v>
      </c>
    </row>
    <row r="56" spans="1:7" x14ac:dyDescent="0.3">
      <c r="A56" s="36">
        <v>55</v>
      </c>
      <c r="B56" s="36">
        <v>10</v>
      </c>
      <c r="C56" s="36" t="s">
        <v>1007</v>
      </c>
      <c r="D56" s="36" t="s">
        <v>1008</v>
      </c>
      <c r="E56" s="36" t="s">
        <v>898</v>
      </c>
      <c r="F56" s="36" t="s">
        <v>447</v>
      </c>
      <c r="G56" s="37">
        <v>44287</v>
      </c>
    </row>
    <row r="57" spans="1:7" x14ac:dyDescent="0.3">
      <c r="A57" s="36">
        <v>56</v>
      </c>
      <c r="B57" s="36">
        <v>11</v>
      </c>
      <c r="C57" s="36" t="s">
        <v>1009</v>
      </c>
      <c r="D57" s="36" t="s">
        <v>1010</v>
      </c>
      <c r="E57" s="36" t="s">
        <v>898</v>
      </c>
      <c r="F57" s="36" t="s">
        <v>467</v>
      </c>
      <c r="G57" s="37">
        <v>44378</v>
      </c>
    </row>
    <row r="58" spans="1:7" x14ac:dyDescent="0.3">
      <c r="A58" s="36">
        <v>57</v>
      </c>
      <c r="B58" s="36">
        <v>13</v>
      </c>
      <c r="C58" s="36" t="s">
        <v>191</v>
      </c>
      <c r="D58" s="36" t="s">
        <v>1011</v>
      </c>
      <c r="E58" s="36" t="s">
        <v>898</v>
      </c>
      <c r="F58" s="36" t="s">
        <v>483</v>
      </c>
      <c r="G58" s="37">
        <v>44562</v>
      </c>
    </row>
    <row r="59" spans="1:7" x14ac:dyDescent="0.3">
      <c r="A59" s="36">
        <v>58</v>
      </c>
      <c r="B59" s="36">
        <v>17</v>
      </c>
      <c r="C59" s="36" t="s">
        <v>190</v>
      </c>
      <c r="D59" s="36" t="s">
        <v>1012</v>
      </c>
      <c r="E59" s="36" t="s">
        <v>898</v>
      </c>
      <c r="F59" s="36" t="s">
        <v>505</v>
      </c>
      <c r="G59" s="37">
        <v>44348</v>
      </c>
    </row>
    <row r="60" spans="1:7" x14ac:dyDescent="0.3">
      <c r="A60" s="36">
        <v>59</v>
      </c>
      <c r="B60" s="36">
        <v>21</v>
      </c>
      <c r="C60" s="36" t="s">
        <v>196</v>
      </c>
      <c r="D60" s="36" t="s">
        <v>1013</v>
      </c>
      <c r="E60" s="36" t="s">
        <v>898</v>
      </c>
      <c r="F60" s="36" t="s">
        <v>1014</v>
      </c>
      <c r="G60" s="37">
        <v>44105</v>
      </c>
    </row>
    <row r="61" spans="1:7" x14ac:dyDescent="0.3">
      <c r="A61" s="36">
        <v>60</v>
      </c>
      <c r="B61" s="36">
        <v>25</v>
      </c>
      <c r="C61" s="36" t="s">
        <v>194</v>
      </c>
      <c r="D61" s="36" t="s">
        <v>1015</v>
      </c>
      <c r="E61" s="36" t="s">
        <v>898</v>
      </c>
      <c r="F61" s="36" t="s">
        <v>556</v>
      </c>
      <c r="G61" s="37">
        <v>44136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12" customWidth="1"/>
    <col min="3" max="3" width="14" customWidth="1"/>
    <col min="4" max="4" width="11" customWidth="1"/>
    <col min="5" max="5" width="12" customWidth="1"/>
    <col min="6" max="6" width="26" customWidth="1"/>
    <col min="7" max="7" width="11" customWidth="1"/>
  </cols>
  <sheetData>
    <row r="1" spans="1:7" ht="24" customHeight="1" x14ac:dyDescent="0.3">
      <c r="A1" s="23" t="s">
        <v>309</v>
      </c>
      <c r="B1" s="23" t="s">
        <v>296</v>
      </c>
      <c r="C1" s="23" t="s">
        <v>1016</v>
      </c>
      <c r="D1" s="23" t="s">
        <v>666</v>
      </c>
      <c r="E1" s="23" t="s">
        <v>1017</v>
      </c>
      <c r="F1" s="23" t="s">
        <v>668</v>
      </c>
      <c r="G1" s="23" t="s">
        <v>664</v>
      </c>
    </row>
    <row r="2" spans="1:7" x14ac:dyDescent="0.3">
      <c r="A2" s="36">
        <v>1</v>
      </c>
      <c r="B2" s="36">
        <v>106</v>
      </c>
      <c r="C2" s="36" t="s">
        <v>1018</v>
      </c>
      <c r="D2" s="39">
        <v>12</v>
      </c>
      <c r="E2" s="37">
        <v>45322</v>
      </c>
      <c r="F2" s="36" t="s">
        <v>1019</v>
      </c>
      <c r="G2" s="36" t="s">
        <v>227</v>
      </c>
    </row>
    <row r="3" spans="1:7" x14ac:dyDescent="0.3">
      <c r="A3" s="36">
        <v>2</v>
      </c>
      <c r="B3" s="36">
        <v>110</v>
      </c>
      <c r="C3" s="36" t="s">
        <v>1018</v>
      </c>
      <c r="D3" s="39">
        <v>12</v>
      </c>
      <c r="E3" s="37">
        <v>45322</v>
      </c>
      <c r="F3" s="36" t="s">
        <v>1019</v>
      </c>
      <c r="G3" s="36" t="s">
        <v>227</v>
      </c>
    </row>
    <row r="4" spans="1:7" x14ac:dyDescent="0.3">
      <c r="A4" s="36">
        <v>3</v>
      </c>
      <c r="B4" s="36">
        <v>113</v>
      </c>
      <c r="C4" s="36" t="s">
        <v>1018</v>
      </c>
      <c r="D4" s="39">
        <v>12</v>
      </c>
      <c r="E4" s="37">
        <v>45322</v>
      </c>
      <c r="F4" s="36" t="s">
        <v>1019</v>
      </c>
      <c r="G4" s="36" t="s">
        <v>1020</v>
      </c>
    </row>
    <row r="5" spans="1:7" x14ac:dyDescent="0.3">
      <c r="A5" s="36">
        <v>4</v>
      </c>
      <c r="B5" s="36">
        <v>106</v>
      </c>
      <c r="C5" s="36" t="s">
        <v>1021</v>
      </c>
      <c r="D5" s="39">
        <v>35</v>
      </c>
      <c r="E5" s="37">
        <v>45316</v>
      </c>
      <c r="F5" s="36" t="s">
        <v>1022</v>
      </c>
      <c r="G5" s="36" t="s">
        <v>227</v>
      </c>
    </row>
    <row r="6" spans="1:7" x14ac:dyDescent="0.3">
      <c r="A6" s="36">
        <v>5</v>
      </c>
      <c r="B6" s="36">
        <v>110</v>
      </c>
      <c r="C6" s="36" t="s">
        <v>1023</v>
      </c>
      <c r="D6" s="39">
        <v>3</v>
      </c>
      <c r="E6" s="37">
        <v>45334</v>
      </c>
      <c r="F6" s="36" t="s">
        <v>1024</v>
      </c>
      <c r="G6" s="36" t="s">
        <v>227</v>
      </c>
    </row>
    <row r="7" spans="1:7" x14ac:dyDescent="0.3">
      <c r="A7" s="36">
        <v>6</v>
      </c>
      <c r="B7" s="36">
        <v>101</v>
      </c>
      <c r="C7" s="36" t="s">
        <v>213</v>
      </c>
      <c r="D7" s="39">
        <v>5</v>
      </c>
      <c r="E7" s="37">
        <v>45299</v>
      </c>
      <c r="F7" s="36" t="s">
        <v>1025</v>
      </c>
      <c r="G7" s="36" t="s">
        <v>227</v>
      </c>
    </row>
    <row r="8" spans="1:7" x14ac:dyDescent="0.3">
      <c r="A8" s="36">
        <v>7</v>
      </c>
      <c r="B8" s="36">
        <v>111</v>
      </c>
      <c r="C8" s="36" t="s">
        <v>1018</v>
      </c>
      <c r="D8" s="39">
        <v>0</v>
      </c>
      <c r="E8" s="37">
        <v>45351</v>
      </c>
      <c r="F8" s="36" t="s">
        <v>1026</v>
      </c>
      <c r="G8" s="36" t="s">
        <v>1020</v>
      </c>
    </row>
    <row r="9" spans="1:7" x14ac:dyDescent="0.3">
      <c r="A9" s="36">
        <v>8</v>
      </c>
      <c r="B9" s="36">
        <v>104</v>
      </c>
      <c r="C9" s="36" t="s">
        <v>1018</v>
      </c>
      <c r="D9" s="39">
        <v>12</v>
      </c>
      <c r="E9" s="37">
        <v>45351</v>
      </c>
      <c r="F9" s="36" t="s">
        <v>1019</v>
      </c>
      <c r="G9" s="36" t="s">
        <v>227</v>
      </c>
    </row>
    <row r="10" spans="1:7" x14ac:dyDescent="0.3">
      <c r="A10" s="36">
        <v>9</v>
      </c>
      <c r="B10" s="36">
        <v>137</v>
      </c>
      <c r="C10" s="36" t="s">
        <v>1021</v>
      </c>
      <c r="D10" s="39">
        <v>35</v>
      </c>
      <c r="E10" s="37">
        <v>45412</v>
      </c>
      <c r="F10" s="36" t="s">
        <v>1022</v>
      </c>
      <c r="G10" s="36" t="s">
        <v>227</v>
      </c>
    </row>
    <row r="11" spans="1:7" x14ac:dyDescent="0.3">
      <c r="A11" s="36">
        <v>10</v>
      </c>
      <c r="B11" s="36">
        <v>126</v>
      </c>
      <c r="C11" s="36" t="s">
        <v>1023</v>
      </c>
      <c r="D11" s="39">
        <v>3</v>
      </c>
      <c r="E11" s="37">
        <v>45390</v>
      </c>
      <c r="F11" s="36" t="s">
        <v>1024</v>
      </c>
      <c r="G11" s="36" t="s">
        <v>227</v>
      </c>
    </row>
    <row r="12" spans="1:7" x14ac:dyDescent="0.3">
      <c r="A12" s="36">
        <v>11</v>
      </c>
      <c r="B12" s="36">
        <v>119</v>
      </c>
      <c r="C12" s="36" t="s">
        <v>1018</v>
      </c>
      <c r="D12" s="39">
        <v>12</v>
      </c>
      <c r="E12" s="37">
        <v>45382</v>
      </c>
      <c r="F12" s="36" t="s">
        <v>1019</v>
      </c>
      <c r="G12" s="36" t="s">
        <v>227</v>
      </c>
    </row>
    <row r="13" spans="1:7" x14ac:dyDescent="0.3">
      <c r="A13" s="36">
        <v>12</v>
      </c>
      <c r="B13" s="36">
        <v>106</v>
      </c>
      <c r="C13" s="36" t="s">
        <v>1018</v>
      </c>
      <c r="D13" s="39">
        <v>12</v>
      </c>
      <c r="E13" s="37">
        <v>45351</v>
      </c>
      <c r="F13" s="36" t="s">
        <v>1019</v>
      </c>
      <c r="G13" s="36" t="s">
        <v>227</v>
      </c>
    </row>
    <row r="14" spans="1:7" x14ac:dyDescent="0.3">
      <c r="A14" s="36">
        <v>13</v>
      </c>
      <c r="B14" s="36">
        <v>161</v>
      </c>
      <c r="C14" s="36" t="s">
        <v>1018</v>
      </c>
      <c r="D14" s="39">
        <v>12</v>
      </c>
      <c r="E14" s="37">
        <v>45473</v>
      </c>
      <c r="F14" s="36" t="s">
        <v>1019</v>
      </c>
      <c r="G14" s="36" t="s">
        <v>868</v>
      </c>
    </row>
    <row r="15" spans="1:7" x14ac:dyDescent="0.3">
      <c r="A15" s="36">
        <v>14</v>
      </c>
      <c r="B15" s="36">
        <v>110</v>
      </c>
      <c r="C15" s="36" t="s">
        <v>1018</v>
      </c>
      <c r="D15" s="39">
        <v>12</v>
      </c>
      <c r="E15" s="37">
        <v>45351</v>
      </c>
      <c r="F15" s="36" t="s">
        <v>1019</v>
      </c>
      <c r="G15" s="36" t="s">
        <v>227</v>
      </c>
    </row>
    <row r="16" spans="1:7" x14ac:dyDescent="0.3">
      <c r="A16" s="36">
        <v>15</v>
      </c>
      <c r="B16" s="36">
        <v>103</v>
      </c>
      <c r="C16" s="36" t="s">
        <v>213</v>
      </c>
      <c r="D16" s="39">
        <v>5</v>
      </c>
      <c r="E16" s="37">
        <v>45347</v>
      </c>
      <c r="F16" s="36" t="s">
        <v>1025</v>
      </c>
      <c r="G16" s="36" t="s">
        <v>227</v>
      </c>
    </row>
    <row r="17" spans="1:7" x14ac:dyDescent="0.3">
      <c r="A17" s="36">
        <v>16</v>
      </c>
      <c r="B17" s="36">
        <v>149</v>
      </c>
      <c r="C17" s="36" t="s">
        <v>1021</v>
      </c>
      <c r="D17" s="39">
        <v>35</v>
      </c>
      <c r="E17" s="37">
        <v>45455</v>
      </c>
      <c r="F17" s="36" t="s">
        <v>1022</v>
      </c>
      <c r="G17" s="36" t="s">
        <v>227</v>
      </c>
    </row>
    <row r="18" spans="1:7" x14ac:dyDescent="0.3">
      <c r="A18" s="36">
        <v>17</v>
      </c>
      <c r="B18" s="36">
        <v>165</v>
      </c>
      <c r="C18" s="36" t="s">
        <v>1021</v>
      </c>
      <c r="D18" s="39">
        <v>35</v>
      </c>
      <c r="E18" s="37">
        <v>45476</v>
      </c>
      <c r="F18" s="36" t="s">
        <v>1022</v>
      </c>
      <c r="G18" s="36" t="s">
        <v>868</v>
      </c>
    </row>
    <row r="19" spans="1:7" x14ac:dyDescent="0.3">
      <c r="A19" s="36">
        <v>18</v>
      </c>
      <c r="B19" s="36">
        <v>106</v>
      </c>
      <c r="C19" s="36" t="s">
        <v>1018</v>
      </c>
      <c r="D19" s="39">
        <v>12</v>
      </c>
      <c r="E19" s="37">
        <v>45382</v>
      </c>
      <c r="F19" s="36" t="s">
        <v>1019</v>
      </c>
      <c r="G19" s="36" t="s">
        <v>227</v>
      </c>
    </row>
    <row r="20" spans="1:7" x14ac:dyDescent="0.3">
      <c r="A20" s="36">
        <v>19</v>
      </c>
      <c r="B20" s="36">
        <v>137</v>
      </c>
      <c r="C20" s="36" t="s">
        <v>1018</v>
      </c>
      <c r="D20" s="39">
        <v>12</v>
      </c>
      <c r="E20" s="37">
        <v>45443</v>
      </c>
      <c r="F20" s="36" t="s">
        <v>1019</v>
      </c>
      <c r="G20" s="36" t="s">
        <v>227</v>
      </c>
    </row>
    <row r="21" spans="1:7" x14ac:dyDescent="0.3">
      <c r="A21" s="36">
        <v>20</v>
      </c>
      <c r="B21" s="36">
        <v>110</v>
      </c>
      <c r="C21" s="36" t="s">
        <v>1027</v>
      </c>
      <c r="D21" s="39">
        <v>25</v>
      </c>
      <c r="E21" s="37">
        <v>45366</v>
      </c>
      <c r="F21" s="36" t="s">
        <v>1028</v>
      </c>
      <c r="G21" s="36" t="s">
        <v>227</v>
      </c>
    </row>
    <row r="22" spans="1:7" x14ac:dyDescent="0.3">
      <c r="A22" s="36">
        <v>21</v>
      </c>
      <c r="B22" s="36">
        <v>111</v>
      </c>
      <c r="C22" s="36" t="s">
        <v>1018</v>
      </c>
      <c r="D22" s="39">
        <v>0</v>
      </c>
      <c r="E22" s="37">
        <v>45382</v>
      </c>
      <c r="F22" s="36" t="s">
        <v>1029</v>
      </c>
      <c r="G22" s="36" t="s">
        <v>1020</v>
      </c>
    </row>
    <row r="23" spans="1:7" x14ac:dyDescent="0.3">
      <c r="A23" s="36">
        <v>22</v>
      </c>
      <c r="B23" s="36">
        <v>129</v>
      </c>
      <c r="C23" s="36" t="s">
        <v>1018</v>
      </c>
      <c r="D23" s="39">
        <v>0</v>
      </c>
      <c r="E23" s="37">
        <v>45322</v>
      </c>
      <c r="F23" s="36" t="s">
        <v>1029</v>
      </c>
      <c r="G23" s="36" t="s">
        <v>1020</v>
      </c>
    </row>
    <row r="24" spans="1:7" x14ac:dyDescent="0.3">
      <c r="A24" s="36">
        <v>23</v>
      </c>
      <c r="B24" s="36">
        <v>106</v>
      </c>
      <c r="C24" s="36" t="s">
        <v>1018</v>
      </c>
      <c r="D24" s="39">
        <v>12</v>
      </c>
      <c r="E24" s="37">
        <v>45412</v>
      </c>
      <c r="F24" s="36" t="s">
        <v>1019</v>
      </c>
      <c r="G24" s="36" t="s">
        <v>227</v>
      </c>
    </row>
    <row r="25" spans="1:7" x14ac:dyDescent="0.3">
      <c r="A25" s="36">
        <v>24</v>
      </c>
      <c r="B25" s="36">
        <v>110</v>
      </c>
      <c r="C25" s="36" t="s">
        <v>1018</v>
      </c>
      <c r="D25" s="39">
        <v>12</v>
      </c>
      <c r="E25" s="37">
        <v>45382</v>
      </c>
      <c r="F25" s="36" t="s">
        <v>1019</v>
      </c>
      <c r="G25" s="36" t="s">
        <v>227</v>
      </c>
    </row>
    <row r="26" spans="1:7" x14ac:dyDescent="0.3">
      <c r="A26" s="36">
        <v>25</v>
      </c>
      <c r="B26" s="36">
        <v>119</v>
      </c>
      <c r="C26" s="36" t="s">
        <v>1021</v>
      </c>
      <c r="D26" s="39">
        <v>35</v>
      </c>
      <c r="E26" s="37">
        <v>45369</v>
      </c>
      <c r="F26" s="36" t="s">
        <v>1022</v>
      </c>
      <c r="G26" s="36" t="s">
        <v>227</v>
      </c>
    </row>
    <row r="27" spans="1:7" x14ac:dyDescent="0.3">
      <c r="A27" s="36">
        <v>26</v>
      </c>
      <c r="B27" s="36">
        <v>126</v>
      </c>
      <c r="C27" s="36" t="s">
        <v>1018</v>
      </c>
      <c r="D27" s="39">
        <v>12</v>
      </c>
      <c r="E27" s="37">
        <v>45443</v>
      </c>
      <c r="F27" s="36" t="s">
        <v>1019</v>
      </c>
      <c r="G27" s="36" t="s">
        <v>227</v>
      </c>
    </row>
    <row r="28" spans="1:7" x14ac:dyDescent="0.3">
      <c r="A28" s="36">
        <v>27</v>
      </c>
      <c r="B28" s="36">
        <v>137</v>
      </c>
      <c r="C28" s="36" t="s">
        <v>1023</v>
      </c>
      <c r="D28" s="39">
        <v>3</v>
      </c>
      <c r="E28" s="37">
        <v>45420</v>
      </c>
      <c r="F28" s="36" t="s">
        <v>1024</v>
      </c>
      <c r="G28" s="36" t="s">
        <v>227</v>
      </c>
    </row>
    <row r="29" spans="1:7" x14ac:dyDescent="0.3">
      <c r="A29" s="36">
        <v>28</v>
      </c>
      <c r="B29" s="36">
        <v>143</v>
      </c>
      <c r="C29" s="36" t="s">
        <v>1018</v>
      </c>
      <c r="D29" s="39">
        <v>12</v>
      </c>
      <c r="E29" s="37">
        <v>45443</v>
      </c>
      <c r="F29" s="36" t="s">
        <v>1019</v>
      </c>
      <c r="G29" s="36" t="s">
        <v>227</v>
      </c>
    </row>
    <row r="30" spans="1:7" x14ac:dyDescent="0.3">
      <c r="A30" s="36">
        <v>29</v>
      </c>
      <c r="B30" s="36">
        <v>149</v>
      </c>
      <c r="C30" s="36" t="s">
        <v>1018</v>
      </c>
      <c r="D30" s="39">
        <v>12</v>
      </c>
      <c r="E30" s="37">
        <v>45443</v>
      </c>
      <c r="F30" s="36" t="s">
        <v>1019</v>
      </c>
      <c r="G30" s="36" t="s">
        <v>227</v>
      </c>
    </row>
    <row r="31" spans="1:7" x14ac:dyDescent="0.3">
      <c r="A31" s="36">
        <v>30</v>
      </c>
      <c r="B31" s="36">
        <v>157</v>
      </c>
      <c r="C31" s="36" t="s">
        <v>1018</v>
      </c>
      <c r="D31" s="39">
        <v>12</v>
      </c>
      <c r="E31" s="37">
        <v>45504</v>
      </c>
      <c r="F31" s="36" t="s">
        <v>1019</v>
      </c>
      <c r="G31" s="36" t="s">
        <v>868</v>
      </c>
    </row>
    <row r="32" spans="1:7" x14ac:dyDescent="0.3">
      <c r="A32" s="36">
        <v>31</v>
      </c>
      <c r="B32" s="36">
        <v>161</v>
      </c>
      <c r="C32" s="36" t="s">
        <v>1021</v>
      </c>
      <c r="D32" s="39">
        <v>35</v>
      </c>
      <c r="E32" s="37">
        <v>45453</v>
      </c>
      <c r="F32" s="36" t="s">
        <v>1022</v>
      </c>
      <c r="G32" s="36" t="s">
        <v>227</v>
      </c>
    </row>
    <row r="33" spans="1:7" x14ac:dyDescent="0.3">
      <c r="A33" s="36">
        <v>32</v>
      </c>
      <c r="B33" s="36">
        <v>165</v>
      </c>
      <c r="C33" s="36" t="s">
        <v>1018</v>
      </c>
      <c r="D33" s="39">
        <v>12</v>
      </c>
      <c r="E33" s="37">
        <v>45504</v>
      </c>
      <c r="F33" s="36" t="s">
        <v>1019</v>
      </c>
      <c r="G33" s="36" t="s">
        <v>868</v>
      </c>
    </row>
    <row r="34" spans="1:7" x14ac:dyDescent="0.3">
      <c r="A34" s="36">
        <v>33</v>
      </c>
      <c r="B34" s="36">
        <v>169</v>
      </c>
      <c r="C34" s="36" t="s">
        <v>213</v>
      </c>
      <c r="D34" s="39">
        <v>5</v>
      </c>
      <c r="E34" s="37">
        <v>45483</v>
      </c>
      <c r="F34" s="36" t="s">
        <v>1025</v>
      </c>
      <c r="G34" s="36" t="s">
        <v>227</v>
      </c>
    </row>
    <row r="35" spans="1:7" x14ac:dyDescent="0.3">
      <c r="A35" s="36">
        <v>34</v>
      </c>
      <c r="B35" s="36">
        <v>170</v>
      </c>
      <c r="C35" s="36" t="s">
        <v>1023</v>
      </c>
      <c r="D35" s="39">
        <v>3</v>
      </c>
      <c r="E35" s="37">
        <v>45488</v>
      </c>
      <c r="F35" s="36" t="s">
        <v>1024</v>
      </c>
      <c r="G35" s="36" t="s">
        <v>227</v>
      </c>
    </row>
    <row r="36" spans="1:7" x14ac:dyDescent="0.3">
      <c r="A36" s="36">
        <v>35</v>
      </c>
      <c r="B36" s="36">
        <v>172</v>
      </c>
      <c r="C36" s="36" t="s">
        <v>1018</v>
      </c>
      <c r="D36" s="39">
        <v>12</v>
      </c>
      <c r="E36" s="37">
        <v>45504</v>
      </c>
      <c r="F36" s="36" t="s">
        <v>1019</v>
      </c>
      <c r="G36" s="36" t="s">
        <v>227</v>
      </c>
    </row>
    <row r="37" spans="1:7" x14ac:dyDescent="0.3">
      <c r="A37" s="36">
        <v>36</v>
      </c>
      <c r="B37" s="36">
        <v>175</v>
      </c>
      <c r="C37" s="36" t="s">
        <v>1018</v>
      </c>
      <c r="D37" s="39">
        <v>12</v>
      </c>
      <c r="E37" s="37">
        <v>45535</v>
      </c>
      <c r="F37" s="36" t="s">
        <v>1019</v>
      </c>
      <c r="G37" s="36" t="s">
        <v>868</v>
      </c>
    </row>
    <row r="38" spans="1:7" x14ac:dyDescent="0.3">
      <c r="A38" s="36">
        <v>37</v>
      </c>
      <c r="B38" s="36">
        <v>101</v>
      </c>
      <c r="C38" s="36" t="s">
        <v>1018</v>
      </c>
      <c r="D38" s="39">
        <v>0</v>
      </c>
      <c r="E38" s="37">
        <v>45382</v>
      </c>
      <c r="F38" s="36" t="s">
        <v>1029</v>
      </c>
      <c r="G38" s="36" t="s">
        <v>1020</v>
      </c>
    </row>
    <row r="39" spans="1:7" x14ac:dyDescent="0.3">
      <c r="A39" s="36">
        <v>38</v>
      </c>
      <c r="B39" s="36">
        <v>105</v>
      </c>
      <c r="C39" s="36" t="s">
        <v>1018</v>
      </c>
      <c r="D39" s="39">
        <v>0</v>
      </c>
      <c r="E39" s="37">
        <v>45351</v>
      </c>
      <c r="F39" s="36" t="s">
        <v>1029</v>
      </c>
      <c r="G39" s="36" t="s">
        <v>1020</v>
      </c>
    </row>
    <row r="40" spans="1:7" x14ac:dyDescent="0.3">
      <c r="A40" s="36">
        <v>39</v>
      </c>
      <c r="B40" s="36">
        <v>138</v>
      </c>
      <c r="C40" s="36" t="s">
        <v>1018</v>
      </c>
      <c r="D40" s="39">
        <v>0</v>
      </c>
      <c r="E40" s="37">
        <v>45382</v>
      </c>
      <c r="F40" s="36" t="s">
        <v>1029</v>
      </c>
      <c r="G40" s="36" t="s">
        <v>1020</v>
      </c>
    </row>
    <row r="41" spans="1:7" x14ac:dyDescent="0.3">
      <c r="A41" s="36">
        <v>40</v>
      </c>
      <c r="B41" s="36">
        <v>104</v>
      </c>
      <c r="C41" s="36" t="s">
        <v>1018</v>
      </c>
      <c r="D41" s="39">
        <v>12</v>
      </c>
      <c r="E41" s="37">
        <v>45382</v>
      </c>
      <c r="F41" s="36" t="s">
        <v>1019</v>
      </c>
      <c r="G41" s="36" t="s">
        <v>227</v>
      </c>
    </row>
    <row r="42" spans="1:7" x14ac:dyDescent="0.3">
      <c r="A42" s="36">
        <v>41</v>
      </c>
      <c r="B42" s="36">
        <v>106</v>
      </c>
      <c r="C42" s="36" t="s">
        <v>1027</v>
      </c>
      <c r="D42" s="39">
        <v>25</v>
      </c>
      <c r="E42" s="37">
        <v>45392</v>
      </c>
      <c r="F42" s="36" t="s">
        <v>1028</v>
      </c>
      <c r="G42" s="36" t="s">
        <v>227</v>
      </c>
    </row>
    <row r="43" spans="1:7" x14ac:dyDescent="0.3">
      <c r="A43" s="36">
        <v>42</v>
      </c>
      <c r="B43" s="36">
        <v>119</v>
      </c>
      <c r="C43" s="36" t="s">
        <v>1018</v>
      </c>
      <c r="D43" s="39">
        <v>12</v>
      </c>
      <c r="E43" s="37">
        <v>45412</v>
      </c>
      <c r="F43" s="36" t="s">
        <v>1019</v>
      </c>
      <c r="G43" s="36" t="s">
        <v>227</v>
      </c>
    </row>
    <row r="44" spans="1:7" x14ac:dyDescent="0.3">
      <c r="A44" s="36">
        <v>43</v>
      </c>
      <c r="B44" s="36">
        <v>122</v>
      </c>
      <c r="C44" s="36" t="s">
        <v>1023</v>
      </c>
      <c r="D44" s="39">
        <v>3</v>
      </c>
      <c r="E44" s="37">
        <v>45379</v>
      </c>
      <c r="F44" s="36" t="s">
        <v>1024</v>
      </c>
      <c r="G44" s="36" t="s">
        <v>227</v>
      </c>
    </row>
    <row r="45" spans="1:7" x14ac:dyDescent="0.3">
      <c r="A45" s="36">
        <v>44</v>
      </c>
      <c r="B45" s="36">
        <v>126</v>
      </c>
      <c r="C45" s="36" t="s">
        <v>1021</v>
      </c>
      <c r="D45" s="39">
        <v>35</v>
      </c>
      <c r="E45" s="37">
        <v>45390</v>
      </c>
      <c r="F45" s="36" t="s">
        <v>1022</v>
      </c>
      <c r="G45" s="36" t="s">
        <v>227</v>
      </c>
    </row>
    <row r="46" spans="1:7" x14ac:dyDescent="0.3">
      <c r="A46" s="36">
        <v>45</v>
      </c>
      <c r="B46" s="36">
        <v>137</v>
      </c>
      <c r="C46" s="36" t="s">
        <v>1027</v>
      </c>
      <c r="D46" s="39">
        <v>25</v>
      </c>
      <c r="E46" s="37">
        <v>45444</v>
      </c>
      <c r="F46" s="36" t="s">
        <v>1030</v>
      </c>
      <c r="G46" s="36" t="s">
        <v>227</v>
      </c>
    </row>
    <row r="47" spans="1:7" x14ac:dyDescent="0.3">
      <c r="A47" s="36">
        <v>46</v>
      </c>
      <c r="B47" s="36">
        <v>143</v>
      </c>
      <c r="C47" s="36" t="s">
        <v>1023</v>
      </c>
      <c r="D47" s="39">
        <v>3</v>
      </c>
      <c r="E47" s="37">
        <v>45437</v>
      </c>
      <c r="F47" s="36" t="s">
        <v>1024</v>
      </c>
      <c r="G47" s="36" t="s">
        <v>227</v>
      </c>
    </row>
    <row r="48" spans="1:7" x14ac:dyDescent="0.3">
      <c r="A48" s="36">
        <v>47</v>
      </c>
      <c r="B48" s="36">
        <v>149</v>
      </c>
      <c r="C48" s="36" t="s">
        <v>1021</v>
      </c>
      <c r="D48" s="39">
        <v>35</v>
      </c>
      <c r="E48" s="37">
        <v>45485</v>
      </c>
      <c r="F48" s="36" t="s">
        <v>1022</v>
      </c>
      <c r="G48" s="36" t="s">
        <v>868</v>
      </c>
    </row>
    <row r="49" spans="1:7" x14ac:dyDescent="0.3">
      <c r="A49" s="36">
        <v>48</v>
      </c>
      <c r="B49" s="36">
        <v>153</v>
      </c>
      <c r="C49" s="36" t="s">
        <v>1018</v>
      </c>
      <c r="D49" s="39">
        <v>12</v>
      </c>
      <c r="E49" s="37">
        <v>45473</v>
      </c>
      <c r="F49" s="36" t="s">
        <v>1019</v>
      </c>
      <c r="G49" s="36" t="s">
        <v>227</v>
      </c>
    </row>
    <row r="50" spans="1:7" x14ac:dyDescent="0.3">
      <c r="A50" s="36">
        <v>49</v>
      </c>
      <c r="B50" s="36">
        <v>155</v>
      </c>
      <c r="C50" s="36" t="s">
        <v>1023</v>
      </c>
      <c r="D50" s="39">
        <v>3</v>
      </c>
      <c r="E50" s="37">
        <v>45471</v>
      </c>
      <c r="F50" s="36" t="s">
        <v>1024</v>
      </c>
      <c r="G50" s="36" t="s">
        <v>227</v>
      </c>
    </row>
    <row r="51" spans="1:7" x14ac:dyDescent="0.3">
      <c r="A51" s="36">
        <v>50</v>
      </c>
      <c r="B51" s="36">
        <v>157</v>
      </c>
      <c r="C51" s="36" t="s">
        <v>1021</v>
      </c>
      <c r="D51" s="39">
        <v>35</v>
      </c>
      <c r="E51" s="37">
        <v>45476</v>
      </c>
      <c r="F51" s="36" t="s">
        <v>1022</v>
      </c>
      <c r="G51" s="36" t="s">
        <v>868</v>
      </c>
    </row>
    <row r="52" spans="1:7" x14ac:dyDescent="0.3">
      <c r="A52" s="36">
        <v>51</v>
      </c>
      <c r="B52" s="36">
        <v>161</v>
      </c>
      <c r="C52" s="36" t="s">
        <v>1018</v>
      </c>
      <c r="D52" s="39">
        <v>12</v>
      </c>
      <c r="E52" s="37">
        <v>45504</v>
      </c>
      <c r="F52" s="36" t="s">
        <v>1019</v>
      </c>
      <c r="G52" s="36" t="s">
        <v>868</v>
      </c>
    </row>
    <row r="53" spans="1:7" x14ac:dyDescent="0.3">
      <c r="A53" s="36">
        <v>52</v>
      </c>
      <c r="B53" s="36">
        <v>163</v>
      </c>
      <c r="C53" s="36" t="s">
        <v>1023</v>
      </c>
      <c r="D53" s="39">
        <v>3</v>
      </c>
      <c r="E53" s="37">
        <v>45593</v>
      </c>
      <c r="F53" s="36" t="s">
        <v>1024</v>
      </c>
      <c r="G53" s="36" t="s">
        <v>868</v>
      </c>
    </row>
    <row r="54" spans="1:7" x14ac:dyDescent="0.3">
      <c r="A54" s="36">
        <v>53</v>
      </c>
      <c r="B54" s="36">
        <v>165</v>
      </c>
      <c r="C54" s="36" t="s">
        <v>1027</v>
      </c>
      <c r="D54" s="39">
        <v>25</v>
      </c>
      <c r="E54" s="37">
        <v>45492</v>
      </c>
      <c r="F54" s="36" t="s">
        <v>1030</v>
      </c>
      <c r="G54" s="36" t="s">
        <v>227</v>
      </c>
    </row>
    <row r="55" spans="1:7" x14ac:dyDescent="0.3">
      <c r="A55" s="36">
        <v>54</v>
      </c>
      <c r="B55" s="36">
        <v>167</v>
      </c>
      <c r="C55" s="36" t="s">
        <v>1018</v>
      </c>
      <c r="D55" s="39">
        <v>12</v>
      </c>
      <c r="E55" s="37">
        <v>45412</v>
      </c>
      <c r="F55" s="36" t="s">
        <v>1019</v>
      </c>
      <c r="G55" s="36" t="s">
        <v>227</v>
      </c>
    </row>
    <row r="56" spans="1:7" x14ac:dyDescent="0.3">
      <c r="A56" s="36">
        <v>55</v>
      </c>
      <c r="B56" s="36">
        <v>172</v>
      </c>
      <c r="C56" s="36" t="s">
        <v>1023</v>
      </c>
      <c r="D56" s="39">
        <v>3</v>
      </c>
      <c r="E56" s="37">
        <v>45493</v>
      </c>
      <c r="F56" s="36" t="s">
        <v>1024</v>
      </c>
      <c r="G56" s="36" t="s">
        <v>227</v>
      </c>
    </row>
    <row r="57" spans="1:7" x14ac:dyDescent="0.3">
      <c r="A57" s="36">
        <v>56</v>
      </c>
      <c r="B57" s="36">
        <v>175</v>
      </c>
      <c r="C57" s="36" t="s">
        <v>1021</v>
      </c>
      <c r="D57" s="39">
        <v>35</v>
      </c>
      <c r="E57" s="37">
        <v>45524</v>
      </c>
      <c r="F57" s="36" t="s">
        <v>1022</v>
      </c>
      <c r="G57" s="36" t="s">
        <v>868</v>
      </c>
    </row>
    <row r="58" spans="1:7" x14ac:dyDescent="0.3">
      <c r="A58" s="36">
        <v>57</v>
      </c>
      <c r="B58" s="36">
        <v>177</v>
      </c>
      <c r="C58" s="36" t="s">
        <v>1018</v>
      </c>
      <c r="D58" s="39">
        <v>0</v>
      </c>
      <c r="E58" s="37">
        <v>45535</v>
      </c>
      <c r="F58" s="36" t="s">
        <v>1029</v>
      </c>
      <c r="G58" s="36" t="s">
        <v>1020</v>
      </c>
    </row>
    <row r="59" spans="1:7" x14ac:dyDescent="0.3">
      <c r="A59" s="36">
        <v>58</v>
      </c>
      <c r="B59" s="36">
        <v>181</v>
      </c>
      <c r="C59" s="36" t="s">
        <v>213</v>
      </c>
      <c r="D59" s="39">
        <v>5</v>
      </c>
      <c r="E59" s="37">
        <v>45512</v>
      </c>
      <c r="F59" s="36" t="s">
        <v>1025</v>
      </c>
      <c r="G59" s="36" t="s">
        <v>227</v>
      </c>
    </row>
    <row r="60" spans="1:7" x14ac:dyDescent="0.3">
      <c r="A60" s="36">
        <v>59</v>
      </c>
      <c r="B60" s="36">
        <v>169</v>
      </c>
      <c r="C60" s="36" t="s">
        <v>1018</v>
      </c>
      <c r="D60" s="39">
        <v>0</v>
      </c>
      <c r="E60" s="37">
        <v>45504</v>
      </c>
      <c r="F60" s="36" t="s">
        <v>1026</v>
      </c>
      <c r="G60" s="36" t="s">
        <v>1020</v>
      </c>
    </row>
    <row r="61" spans="1:7" x14ac:dyDescent="0.3">
      <c r="A61" s="36">
        <v>60</v>
      </c>
      <c r="B61" s="36">
        <v>173</v>
      </c>
      <c r="C61" s="36" t="s">
        <v>1018</v>
      </c>
      <c r="D61" s="39">
        <v>0</v>
      </c>
      <c r="E61" s="37">
        <v>45535</v>
      </c>
      <c r="F61" s="36" t="s">
        <v>1029</v>
      </c>
      <c r="G61" s="36" t="s">
        <v>1020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1" customWidth="1"/>
    <col min="3" max="3" width="14" customWidth="1"/>
    <col min="4" max="4" width="11" customWidth="1"/>
    <col min="5" max="5" width="16" customWidth="1"/>
    <col min="6" max="6" width="15" customWidth="1"/>
    <col min="7" max="7" width="19" customWidth="1"/>
    <col min="8" max="8" width="11" customWidth="1"/>
  </cols>
  <sheetData>
    <row r="1" spans="1:8" ht="24" customHeight="1" x14ac:dyDescent="0.3">
      <c r="A1" s="23" t="s">
        <v>311</v>
      </c>
      <c r="B1" s="23" t="s">
        <v>299</v>
      </c>
      <c r="C1" s="23" t="s">
        <v>1031</v>
      </c>
      <c r="D1" s="23" t="s">
        <v>666</v>
      </c>
      <c r="E1" s="23" t="s">
        <v>1032</v>
      </c>
      <c r="F1" s="23" t="s">
        <v>1033</v>
      </c>
      <c r="G1" s="23" t="s">
        <v>1034</v>
      </c>
      <c r="H1" s="23" t="s">
        <v>664</v>
      </c>
    </row>
    <row r="2" spans="1:8" x14ac:dyDescent="0.3">
      <c r="A2" s="36">
        <v>1</v>
      </c>
      <c r="B2" s="36">
        <v>201</v>
      </c>
      <c r="C2" s="37">
        <v>45292</v>
      </c>
      <c r="D2" s="39">
        <v>1200</v>
      </c>
      <c r="E2" s="39">
        <v>617</v>
      </c>
      <c r="F2" s="39">
        <v>583</v>
      </c>
      <c r="G2" s="39">
        <v>199383</v>
      </c>
      <c r="H2" s="36" t="s">
        <v>227</v>
      </c>
    </row>
    <row r="3" spans="1:8" x14ac:dyDescent="0.3">
      <c r="A3" s="36">
        <v>2</v>
      </c>
      <c r="B3" s="36">
        <v>201</v>
      </c>
      <c r="C3" s="37">
        <v>45323</v>
      </c>
      <c r="D3" s="39">
        <v>1200</v>
      </c>
      <c r="E3" s="39">
        <v>619</v>
      </c>
      <c r="F3" s="39">
        <v>581</v>
      </c>
      <c r="G3" s="39">
        <v>198764</v>
      </c>
      <c r="H3" s="36" t="s">
        <v>227</v>
      </c>
    </row>
    <row r="4" spans="1:8" x14ac:dyDescent="0.3">
      <c r="A4" s="36">
        <v>3</v>
      </c>
      <c r="B4" s="36">
        <v>201</v>
      </c>
      <c r="C4" s="37">
        <v>45352</v>
      </c>
      <c r="D4" s="39">
        <v>1200</v>
      </c>
      <c r="E4" s="39">
        <v>621</v>
      </c>
      <c r="F4" s="39">
        <v>579</v>
      </c>
      <c r="G4" s="39">
        <v>198143</v>
      </c>
      <c r="H4" s="36" t="s">
        <v>227</v>
      </c>
    </row>
    <row r="5" spans="1:8" x14ac:dyDescent="0.3">
      <c r="A5" s="36">
        <v>4</v>
      </c>
      <c r="B5" s="36">
        <v>202</v>
      </c>
      <c r="C5" s="37">
        <v>45306</v>
      </c>
      <c r="D5" s="39">
        <v>350</v>
      </c>
      <c r="E5" s="39">
        <v>201</v>
      </c>
      <c r="F5" s="39">
        <v>149</v>
      </c>
      <c r="G5" s="39">
        <v>14799</v>
      </c>
      <c r="H5" s="36" t="s">
        <v>227</v>
      </c>
    </row>
    <row r="6" spans="1:8" x14ac:dyDescent="0.3">
      <c r="A6" s="36">
        <v>5</v>
      </c>
      <c r="B6" s="36">
        <v>202</v>
      </c>
      <c r="C6" s="37">
        <v>45337</v>
      </c>
      <c r="D6" s="39">
        <v>350</v>
      </c>
      <c r="E6" s="39">
        <v>203</v>
      </c>
      <c r="F6" s="39">
        <v>147</v>
      </c>
      <c r="G6" s="39">
        <v>14596</v>
      </c>
      <c r="H6" s="36" t="s">
        <v>227</v>
      </c>
    </row>
    <row r="7" spans="1:8" x14ac:dyDescent="0.3">
      <c r="A7" s="36">
        <v>6</v>
      </c>
      <c r="B7" s="36">
        <v>202</v>
      </c>
      <c r="C7" s="37">
        <v>45366</v>
      </c>
      <c r="D7" s="39">
        <v>350</v>
      </c>
      <c r="E7" s="39">
        <v>205</v>
      </c>
      <c r="F7" s="39">
        <v>145</v>
      </c>
      <c r="G7" s="39">
        <v>14391</v>
      </c>
      <c r="H7" s="36" t="s">
        <v>227</v>
      </c>
    </row>
    <row r="8" spans="1:8" x14ac:dyDescent="0.3">
      <c r="A8" s="36">
        <v>7</v>
      </c>
      <c r="B8" s="36">
        <v>203</v>
      </c>
      <c r="C8" s="37">
        <v>45301</v>
      </c>
      <c r="D8" s="39">
        <v>250</v>
      </c>
      <c r="E8" s="39">
        <v>218</v>
      </c>
      <c r="F8" s="39">
        <v>32</v>
      </c>
      <c r="G8" s="39">
        <v>4782</v>
      </c>
      <c r="H8" s="36" t="s">
        <v>227</v>
      </c>
    </row>
    <row r="9" spans="1:8" x14ac:dyDescent="0.3">
      <c r="A9" s="36">
        <v>8</v>
      </c>
      <c r="B9" s="36">
        <v>203</v>
      </c>
      <c r="C9" s="37">
        <v>45332</v>
      </c>
      <c r="D9" s="39">
        <v>250</v>
      </c>
      <c r="E9" s="39">
        <v>220</v>
      </c>
      <c r="F9" s="39">
        <v>30</v>
      </c>
      <c r="G9" s="39">
        <v>4562</v>
      </c>
      <c r="H9" s="36" t="s">
        <v>227</v>
      </c>
    </row>
    <row r="10" spans="1:8" x14ac:dyDescent="0.3">
      <c r="A10" s="36">
        <v>9</v>
      </c>
      <c r="B10" s="36">
        <v>204</v>
      </c>
      <c r="C10" s="37">
        <v>45311</v>
      </c>
      <c r="D10" s="39">
        <v>1100</v>
      </c>
      <c r="E10" s="39">
        <v>827</v>
      </c>
      <c r="F10" s="39">
        <v>273</v>
      </c>
      <c r="G10" s="39">
        <v>79173</v>
      </c>
      <c r="H10" s="36" t="s">
        <v>227</v>
      </c>
    </row>
    <row r="11" spans="1:8" x14ac:dyDescent="0.3">
      <c r="A11" s="36">
        <v>10</v>
      </c>
      <c r="B11" s="36">
        <v>204</v>
      </c>
      <c r="C11" s="37">
        <v>45342</v>
      </c>
      <c r="D11" s="39">
        <v>1100</v>
      </c>
      <c r="E11" s="39">
        <v>830</v>
      </c>
      <c r="F11" s="39">
        <v>270</v>
      </c>
      <c r="G11" s="39">
        <v>78343</v>
      </c>
      <c r="H11" s="36" t="s">
        <v>227</v>
      </c>
    </row>
    <row r="12" spans="1:8" x14ac:dyDescent="0.3">
      <c r="A12" s="36">
        <v>11</v>
      </c>
      <c r="B12" s="36">
        <v>205</v>
      </c>
      <c r="C12" s="37">
        <v>45292</v>
      </c>
      <c r="D12" s="39">
        <v>300</v>
      </c>
      <c r="E12" s="39">
        <v>240</v>
      </c>
      <c r="F12" s="39">
        <v>60</v>
      </c>
      <c r="G12" s="39">
        <v>11760</v>
      </c>
      <c r="H12" s="36" t="s">
        <v>227</v>
      </c>
    </row>
    <row r="13" spans="1:8" x14ac:dyDescent="0.3">
      <c r="A13" s="36">
        <v>12</v>
      </c>
      <c r="B13" s="36">
        <v>205</v>
      </c>
      <c r="C13" s="37">
        <v>45323</v>
      </c>
      <c r="D13" s="39">
        <v>300</v>
      </c>
      <c r="E13" s="39">
        <v>242</v>
      </c>
      <c r="F13" s="39">
        <v>58</v>
      </c>
      <c r="G13" s="39">
        <v>11518</v>
      </c>
      <c r="H13" s="36" t="s">
        <v>227</v>
      </c>
    </row>
    <row r="14" spans="1:8" x14ac:dyDescent="0.3">
      <c r="A14" s="36">
        <v>13</v>
      </c>
      <c r="B14" s="36">
        <v>207</v>
      </c>
      <c r="C14" s="37">
        <v>45306</v>
      </c>
      <c r="D14" s="39">
        <v>950</v>
      </c>
      <c r="E14" s="39">
        <v>481</v>
      </c>
      <c r="F14" s="39">
        <v>469</v>
      </c>
      <c r="G14" s="39">
        <v>149519</v>
      </c>
      <c r="H14" s="36" t="s">
        <v>227</v>
      </c>
    </row>
    <row r="15" spans="1:8" x14ac:dyDescent="0.3">
      <c r="A15" s="36">
        <v>14</v>
      </c>
      <c r="B15" s="36">
        <v>207</v>
      </c>
      <c r="C15" s="37">
        <v>45337</v>
      </c>
      <c r="D15" s="39">
        <v>950</v>
      </c>
      <c r="E15" s="39">
        <v>483</v>
      </c>
      <c r="F15" s="39">
        <v>467</v>
      </c>
      <c r="G15" s="39">
        <v>149036</v>
      </c>
      <c r="H15" s="36" t="s">
        <v>227</v>
      </c>
    </row>
    <row r="16" spans="1:8" x14ac:dyDescent="0.3">
      <c r="A16" s="36">
        <v>15</v>
      </c>
      <c r="B16" s="36">
        <v>208</v>
      </c>
      <c r="C16" s="37">
        <v>45292</v>
      </c>
      <c r="D16" s="39">
        <v>1300</v>
      </c>
      <c r="E16" s="39">
        <v>975</v>
      </c>
      <c r="F16" s="39">
        <v>325</v>
      </c>
      <c r="G16" s="39">
        <v>99025</v>
      </c>
      <c r="H16" s="36" t="s">
        <v>227</v>
      </c>
    </row>
    <row r="17" spans="1:8" x14ac:dyDescent="0.3">
      <c r="A17" s="36">
        <v>16</v>
      </c>
      <c r="B17" s="36">
        <v>208</v>
      </c>
      <c r="C17" s="37">
        <v>45323</v>
      </c>
      <c r="D17" s="39">
        <v>1300</v>
      </c>
      <c r="E17" s="39">
        <v>978</v>
      </c>
      <c r="F17" s="39">
        <v>322</v>
      </c>
      <c r="G17" s="39">
        <v>98047</v>
      </c>
      <c r="H17" s="36" t="s">
        <v>227</v>
      </c>
    </row>
    <row r="18" spans="1:8" x14ac:dyDescent="0.3">
      <c r="A18" s="36">
        <v>17</v>
      </c>
      <c r="B18" s="36">
        <v>209</v>
      </c>
      <c r="C18" s="37">
        <v>45292</v>
      </c>
      <c r="D18" s="39">
        <v>1100</v>
      </c>
      <c r="E18" s="39">
        <v>559</v>
      </c>
      <c r="F18" s="39">
        <v>541</v>
      </c>
      <c r="G18" s="39">
        <v>179441</v>
      </c>
      <c r="H18" s="36" t="s">
        <v>227</v>
      </c>
    </row>
    <row r="19" spans="1:8" x14ac:dyDescent="0.3">
      <c r="A19" s="36">
        <v>18</v>
      </c>
      <c r="B19" s="36">
        <v>209</v>
      </c>
      <c r="C19" s="37">
        <v>45323</v>
      </c>
      <c r="D19" s="39">
        <v>1100</v>
      </c>
      <c r="E19" s="39">
        <v>561</v>
      </c>
      <c r="F19" s="39">
        <v>539</v>
      </c>
      <c r="G19" s="39">
        <v>178880</v>
      </c>
      <c r="H19" s="36" t="s">
        <v>227</v>
      </c>
    </row>
    <row r="20" spans="1:8" x14ac:dyDescent="0.3">
      <c r="A20" s="36">
        <v>19</v>
      </c>
      <c r="B20" s="36">
        <v>210</v>
      </c>
      <c r="C20" s="37">
        <v>45292</v>
      </c>
      <c r="D20" s="39">
        <v>450</v>
      </c>
      <c r="E20" s="39">
        <v>229</v>
      </c>
      <c r="F20" s="39">
        <v>221</v>
      </c>
      <c r="G20" s="39">
        <v>19771</v>
      </c>
      <c r="H20" s="36" t="s">
        <v>227</v>
      </c>
    </row>
    <row r="21" spans="1:8" x14ac:dyDescent="0.3">
      <c r="A21" s="36">
        <v>20</v>
      </c>
      <c r="B21" s="36">
        <v>210</v>
      </c>
      <c r="C21" s="37">
        <v>45323</v>
      </c>
      <c r="D21" s="39">
        <v>450</v>
      </c>
      <c r="E21" s="39">
        <v>231</v>
      </c>
      <c r="F21" s="39">
        <v>219</v>
      </c>
      <c r="G21" s="39">
        <v>19540</v>
      </c>
      <c r="H21" s="36" t="s">
        <v>227</v>
      </c>
    </row>
    <row r="22" spans="1:8" x14ac:dyDescent="0.3">
      <c r="A22" s="36">
        <v>21</v>
      </c>
      <c r="B22" s="36">
        <v>211</v>
      </c>
      <c r="C22" s="37">
        <v>45306</v>
      </c>
      <c r="D22" s="39">
        <v>1500</v>
      </c>
      <c r="E22" s="39">
        <v>1080</v>
      </c>
      <c r="F22" s="39">
        <v>420</v>
      </c>
      <c r="G22" s="39">
        <v>118920</v>
      </c>
      <c r="H22" s="36" t="s">
        <v>227</v>
      </c>
    </row>
    <row r="23" spans="1:8" x14ac:dyDescent="0.3">
      <c r="A23" s="36">
        <v>22</v>
      </c>
      <c r="B23" s="36">
        <v>211</v>
      </c>
      <c r="C23" s="37">
        <v>45337</v>
      </c>
      <c r="D23" s="39">
        <v>1500</v>
      </c>
      <c r="E23" s="39">
        <v>1083</v>
      </c>
      <c r="F23" s="39">
        <v>417</v>
      </c>
      <c r="G23" s="39">
        <v>117837</v>
      </c>
      <c r="H23" s="36" t="s">
        <v>227</v>
      </c>
    </row>
    <row r="24" spans="1:8" x14ac:dyDescent="0.3">
      <c r="A24" s="36">
        <v>23</v>
      </c>
      <c r="B24" s="36">
        <v>213</v>
      </c>
      <c r="C24" s="37">
        <v>45292</v>
      </c>
      <c r="D24" s="39">
        <v>2000</v>
      </c>
      <c r="E24" s="39">
        <v>1055</v>
      </c>
      <c r="F24" s="39">
        <v>945</v>
      </c>
      <c r="G24" s="39">
        <v>348945</v>
      </c>
      <c r="H24" s="36" t="s">
        <v>227</v>
      </c>
    </row>
    <row r="25" spans="1:8" x14ac:dyDescent="0.3">
      <c r="A25" s="36">
        <v>24</v>
      </c>
      <c r="B25" s="36">
        <v>213</v>
      </c>
      <c r="C25" s="37">
        <v>45323</v>
      </c>
      <c r="D25" s="39">
        <v>2000</v>
      </c>
      <c r="E25" s="39">
        <v>1058</v>
      </c>
      <c r="F25" s="39">
        <v>942</v>
      </c>
      <c r="G25" s="39">
        <v>347887</v>
      </c>
      <c r="H25" s="36" t="s">
        <v>227</v>
      </c>
    </row>
    <row r="26" spans="1:8" x14ac:dyDescent="0.3">
      <c r="A26" s="36">
        <v>25</v>
      </c>
      <c r="B26" s="36">
        <v>219</v>
      </c>
      <c r="C26" s="37">
        <v>45292</v>
      </c>
      <c r="D26" s="39">
        <v>5800</v>
      </c>
      <c r="E26" s="39">
        <v>3217</v>
      </c>
      <c r="F26" s="39">
        <v>2583</v>
      </c>
      <c r="G26" s="39">
        <v>496783</v>
      </c>
      <c r="H26" s="36" t="s">
        <v>227</v>
      </c>
    </row>
    <row r="27" spans="1:8" x14ac:dyDescent="0.3">
      <c r="A27" s="36">
        <v>26</v>
      </c>
      <c r="B27" s="36">
        <v>219</v>
      </c>
      <c r="C27" s="37">
        <v>45323</v>
      </c>
      <c r="D27" s="39">
        <v>5800</v>
      </c>
      <c r="E27" s="39">
        <v>3230</v>
      </c>
      <c r="F27" s="39">
        <v>2570</v>
      </c>
      <c r="G27" s="39">
        <v>493553</v>
      </c>
      <c r="H27" s="36" t="s">
        <v>227</v>
      </c>
    </row>
    <row r="28" spans="1:8" x14ac:dyDescent="0.3">
      <c r="A28" s="36">
        <v>27</v>
      </c>
      <c r="B28" s="36">
        <v>220</v>
      </c>
      <c r="C28" s="37">
        <v>45292</v>
      </c>
      <c r="D28" s="39">
        <v>1700</v>
      </c>
      <c r="E28" s="39">
        <v>906</v>
      </c>
      <c r="F28" s="39">
        <v>794</v>
      </c>
      <c r="G28" s="39">
        <v>279094</v>
      </c>
      <c r="H28" s="36" t="s">
        <v>227</v>
      </c>
    </row>
    <row r="29" spans="1:8" x14ac:dyDescent="0.3">
      <c r="A29" s="36">
        <v>28</v>
      </c>
      <c r="B29" s="36">
        <v>220</v>
      </c>
      <c r="C29" s="37">
        <v>45323</v>
      </c>
      <c r="D29" s="39">
        <v>1700</v>
      </c>
      <c r="E29" s="39">
        <v>909</v>
      </c>
      <c r="F29" s="39">
        <v>791</v>
      </c>
      <c r="G29" s="39">
        <v>278185</v>
      </c>
      <c r="H29" s="36" t="s">
        <v>227</v>
      </c>
    </row>
    <row r="30" spans="1:8" x14ac:dyDescent="0.3">
      <c r="A30" s="36">
        <v>29</v>
      </c>
      <c r="B30" s="36">
        <v>203</v>
      </c>
      <c r="C30" s="37">
        <v>45361</v>
      </c>
      <c r="D30" s="39">
        <v>250</v>
      </c>
      <c r="E30" s="39">
        <v>222</v>
      </c>
      <c r="F30" s="39">
        <v>28</v>
      </c>
      <c r="G30" s="39">
        <v>4340</v>
      </c>
      <c r="H30" s="36" t="s">
        <v>227</v>
      </c>
    </row>
    <row r="31" spans="1:8" x14ac:dyDescent="0.3">
      <c r="A31" s="36">
        <v>30</v>
      </c>
      <c r="B31" s="36">
        <v>205</v>
      </c>
      <c r="C31" s="37">
        <v>45352</v>
      </c>
      <c r="D31" s="39">
        <v>300</v>
      </c>
      <c r="E31" s="39">
        <v>244</v>
      </c>
      <c r="F31" s="39">
        <v>56</v>
      </c>
      <c r="G31" s="39">
        <v>11274</v>
      </c>
      <c r="H31" s="36" t="s">
        <v>1035</v>
      </c>
    </row>
    <row r="32" spans="1:8" x14ac:dyDescent="0.3">
      <c r="A32" s="36">
        <v>31</v>
      </c>
      <c r="B32" s="36">
        <v>201</v>
      </c>
      <c r="C32" s="37">
        <v>45383</v>
      </c>
      <c r="D32" s="39">
        <v>1200</v>
      </c>
      <c r="E32" s="39">
        <v>623</v>
      </c>
      <c r="F32" s="39">
        <v>577</v>
      </c>
      <c r="G32" s="39">
        <v>197520</v>
      </c>
      <c r="H32" s="36" t="s">
        <v>227</v>
      </c>
    </row>
    <row r="33" spans="1:8" x14ac:dyDescent="0.3">
      <c r="A33" s="36">
        <v>32</v>
      </c>
      <c r="B33" s="36">
        <v>202</v>
      </c>
      <c r="C33" s="37">
        <v>45397</v>
      </c>
      <c r="D33" s="39">
        <v>350</v>
      </c>
      <c r="E33" s="39">
        <v>207</v>
      </c>
      <c r="F33" s="39">
        <v>143</v>
      </c>
      <c r="G33" s="39">
        <v>14184</v>
      </c>
      <c r="H33" s="36" t="s">
        <v>227</v>
      </c>
    </row>
    <row r="34" spans="1:8" x14ac:dyDescent="0.3">
      <c r="A34" s="36">
        <v>33</v>
      </c>
      <c r="B34" s="36">
        <v>204</v>
      </c>
      <c r="C34" s="37">
        <v>45371</v>
      </c>
      <c r="D34" s="39">
        <v>1100</v>
      </c>
      <c r="E34" s="39">
        <v>833</v>
      </c>
      <c r="F34" s="39">
        <v>267</v>
      </c>
      <c r="G34" s="39">
        <v>77510</v>
      </c>
      <c r="H34" s="36" t="s">
        <v>227</v>
      </c>
    </row>
    <row r="35" spans="1:8" x14ac:dyDescent="0.3">
      <c r="A35" s="36">
        <v>34</v>
      </c>
      <c r="B35" s="36">
        <v>207</v>
      </c>
      <c r="C35" s="37">
        <v>45366</v>
      </c>
      <c r="D35" s="39">
        <v>950</v>
      </c>
      <c r="E35" s="39">
        <v>485</v>
      </c>
      <c r="F35" s="39">
        <v>465</v>
      </c>
      <c r="G35" s="39">
        <v>148551</v>
      </c>
      <c r="H35" s="36" t="s">
        <v>227</v>
      </c>
    </row>
    <row r="36" spans="1:8" x14ac:dyDescent="0.3">
      <c r="A36" s="36">
        <v>35</v>
      </c>
      <c r="B36" s="36">
        <v>208</v>
      </c>
      <c r="C36" s="37">
        <v>45352</v>
      </c>
      <c r="D36" s="39">
        <v>1300</v>
      </c>
      <c r="E36" s="39">
        <v>981</v>
      </c>
      <c r="F36" s="39">
        <v>319</v>
      </c>
      <c r="G36" s="39">
        <v>97066</v>
      </c>
      <c r="H36" s="36" t="s">
        <v>227</v>
      </c>
    </row>
    <row r="37" spans="1:8" x14ac:dyDescent="0.3">
      <c r="A37" s="36">
        <v>36</v>
      </c>
      <c r="B37" s="36">
        <v>209</v>
      </c>
      <c r="C37" s="37">
        <v>45352</v>
      </c>
      <c r="D37" s="39">
        <v>1100</v>
      </c>
      <c r="E37" s="39">
        <v>563</v>
      </c>
      <c r="F37" s="39">
        <v>537</v>
      </c>
      <c r="G37" s="39">
        <v>178317</v>
      </c>
      <c r="H37" s="36" t="s">
        <v>227</v>
      </c>
    </row>
    <row r="38" spans="1:8" x14ac:dyDescent="0.3">
      <c r="A38" s="36">
        <v>37</v>
      </c>
      <c r="B38" s="36">
        <v>210</v>
      </c>
      <c r="C38" s="37">
        <v>45352</v>
      </c>
      <c r="D38" s="39">
        <v>450</v>
      </c>
      <c r="E38" s="39">
        <v>233</v>
      </c>
      <c r="F38" s="39">
        <v>217</v>
      </c>
      <c r="G38" s="39">
        <v>19307</v>
      </c>
      <c r="H38" s="36" t="s">
        <v>227</v>
      </c>
    </row>
    <row r="39" spans="1:8" x14ac:dyDescent="0.3">
      <c r="A39" s="36">
        <v>38</v>
      </c>
      <c r="B39" s="36">
        <v>211</v>
      </c>
      <c r="C39" s="37">
        <v>45366</v>
      </c>
      <c r="D39" s="39">
        <v>1500</v>
      </c>
      <c r="E39" s="39">
        <v>1086</v>
      </c>
      <c r="F39" s="39">
        <v>414</v>
      </c>
      <c r="G39" s="39">
        <v>116751</v>
      </c>
      <c r="H39" s="36" t="s">
        <v>227</v>
      </c>
    </row>
    <row r="40" spans="1:8" x14ac:dyDescent="0.3">
      <c r="A40" s="36">
        <v>39</v>
      </c>
      <c r="B40" s="36">
        <v>213</v>
      </c>
      <c r="C40" s="37">
        <v>45352</v>
      </c>
      <c r="D40" s="39">
        <v>2000</v>
      </c>
      <c r="E40" s="39">
        <v>1061</v>
      </c>
      <c r="F40" s="39">
        <v>939</v>
      </c>
      <c r="G40" s="39">
        <v>346826</v>
      </c>
      <c r="H40" s="36" t="s">
        <v>227</v>
      </c>
    </row>
    <row r="41" spans="1:8" x14ac:dyDescent="0.3">
      <c r="A41" s="36">
        <v>40</v>
      </c>
      <c r="B41" s="36">
        <v>219</v>
      </c>
      <c r="C41" s="37">
        <v>45352</v>
      </c>
      <c r="D41" s="39">
        <v>5800</v>
      </c>
      <c r="E41" s="39">
        <v>3243</v>
      </c>
      <c r="F41" s="39">
        <v>2557</v>
      </c>
      <c r="G41" s="39">
        <v>490310</v>
      </c>
      <c r="H41" s="36" t="s">
        <v>227</v>
      </c>
    </row>
    <row r="42" spans="1:8" x14ac:dyDescent="0.3">
      <c r="A42" s="36">
        <v>41</v>
      </c>
      <c r="B42" s="36">
        <v>220</v>
      </c>
      <c r="C42" s="37">
        <v>45352</v>
      </c>
      <c r="D42" s="39">
        <v>1700</v>
      </c>
      <c r="E42" s="39">
        <v>912</v>
      </c>
      <c r="F42" s="39">
        <v>788</v>
      </c>
      <c r="G42" s="39">
        <v>277273</v>
      </c>
      <c r="H42" s="36" t="s">
        <v>227</v>
      </c>
    </row>
    <row r="43" spans="1:8" x14ac:dyDescent="0.3">
      <c r="A43" s="36">
        <v>42</v>
      </c>
      <c r="B43" s="36">
        <v>201</v>
      </c>
      <c r="C43" s="37">
        <v>45413</v>
      </c>
      <c r="D43" s="39">
        <v>1200</v>
      </c>
      <c r="E43" s="39">
        <v>625</v>
      </c>
      <c r="F43" s="39">
        <v>575</v>
      </c>
      <c r="G43" s="39">
        <v>196895</v>
      </c>
      <c r="H43" s="36" t="s">
        <v>227</v>
      </c>
    </row>
    <row r="44" spans="1:8" x14ac:dyDescent="0.3">
      <c r="A44" s="36">
        <v>43</v>
      </c>
      <c r="B44" s="36">
        <v>202</v>
      </c>
      <c r="C44" s="37">
        <v>45427</v>
      </c>
      <c r="D44" s="39">
        <v>350</v>
      </c>
      <c r="E44" s="39">
        <v>209</v>
      </c>
      <c r="F44" s="39">
        <v>141</v>
      </c>
      <c r="G44" s="39">
        <v>13975</v>
      </c>
      <c r="H44" s="36" t="s">
        <v>227</v>
      </c>
    </row>
    <row r="45" spans="1:8" x14ac:dyDescent="0.3">
      <c r="A45" s="36">
        <v>44</v>
      </c>
      <c r="B45" s="36">
        <v>207</v>
      </c>
      <c r="C45" s="37">
        <v>45397</v>
      </c>
      <c r="D45" s="39">
        <v>950</v>
      </c>
      <c r="E45" s="39">
        <v>487</v>
      </c>
      <c r="F45" s="39">
        <v>463</v>
      </c>
      <c r="G45" s="39">
        <v>148064</v>
      </c>
      <c r="H45" s="36" t="s">
        <v>227</v>
      </c>
    </row>
    <row r="46" spans="1:8" x14ac:dyDescent="0.3">
      <c r="A46" s="36">
        <v>45</v>
      </c>
      <c r="B46" s="36">
        <v>208</v>
      </c>
      <c r="C46" s="37">
        <v>45383</v>
      </c>
      <c r="D46" s="39">
        <v>1300</v>
      </c>
      <c r="E46" s="39">
        <v>984</v>
      </c>
      <c r="F46" s="39">
        <v>316</v>
      </c>
      <c r="G46" s="39">
        <v>96082</v>
      </c>
      <c r="H46" s="36" t="s">
        <v>227</v>
      </c>
    </row>
    <row r="47" spans="1:8" x14ac:dyDescent="0.3">
      <c r="A47" s="36">
        <v>46</v>
      </c>
      <c r="B47" s="36">
        <v>209</v>
      </c>
      <c r="C47" s="37">
        <v>45383</v>
      </c>
      <c r="D47" s="39">
        <v>1100</v>
      </c>
      <c r="E47" s="39">
        <v>565</v>
      </c>
      <c r="F47" s="39">
        <v>535</v>
      </c>
      <c r="G47" s="39">
        <v>177752</v>
      </c>
      <c r="H47" s="36" t="s">
        <v>227</v>
      </c>
    </row>
    <row r="48" spans="1:8" x14ac:dyDescent="0.3">
      <c r="A48" s="36">
        <v>47</v>
      </c>
      <c r="B48" s="36">
        <v>213</v>
      </c>
      <c r="C48" s="37">
        <v>45383</v>
      </c>
      <c r="D48" s="39">
        <v>2000</v>
      </c>
      <c r="E48" s="39">
        <v>1064</v>
      </c>
      <c r="F48" s="39">
        <v>936</v>
      </c>
      <c r="G48" s="39">
        <v>345762</v>
      </c>
      <c r="H48" s="36" t="s">
        <v>227</v>
      </c>
    </row>
    <row r="49" spans="1:8" x14ac:dyDescent="0.3">
      <c r="A49" s="36">
        <v>48</v>
      </c>
      <c r="B49" s="36">
        <v>219</v>
      </c>
      <c r="C49" s="37">
        <v>45383</v>
      </c>
      <c r="D49" s="39">
        <v>5800</v>
      </c>
      <c r="E49" s="39">
        <v>3256</v>
      </c>
      <c r="F49" s="39">
        <v>2544</v>
      </c>
      <c r="G49" s="39">
        <v>487054</v>
      </c>
      <c r="H49" s="36" t="s">
        <v>227</v>
      </c>
    </row>
    <row r="50" spans="1:8" x14ac:dyDescent="0.3">
      <c r="A50" s="36">
        <v>49</v>
      </c>
      <c r="B50" s="36">
        <v>220</v>
      </c>
      <c r="C50" s="37">
        <v>45383</v>
      </c>
      <c r="D50" s="39">
        <v>1700</v>
      </c>
      <c r="E50" s="39">
        <v>915</v>
      </c>
      <c r="F50" s="39">
        <v>785</v>
      </c>
      <c r="G50" s="39">
        <v>276358</v>
      </c>
      <c r="H50" s="36" t="s">
        <v>227</v>
      </c>
    </row>
    <row r="51" spans="1:8" x14ac:dyDescent="0.3">
      <c r="A51" s="36">
        <v>50</v>
      </c>
      <c r="B51" s="36">
        <v>225</v>
      </c>
      <c r="C51" s="37">
        <v>45292</v>
      </c>
      <c r="D51" s="39">
        <v>2200</v>
      </c>
      <c r="E51" s="39">
        <v>1213</v>
      </c>
      <c r="F51" s="39">
        <v>987</v>
      </c>
      <c r="G51" s="39">
        <v>298787</v>
      </c>
      <c r="H51" s="36" t="s">
        <v>227</v>
      </c>
    </row>
    <row r="52" spans="1:8" x14ac:dyDescent="0.3">
      <c r="A52" s="36">
        <v>51</v>
      </c>
      <c r="B52" s="36">
        <v>225</v>
      </c>
      <c r="C52" s="37">
        <v>45323</v>
      </c>
      <c r="D52" s="39">
        <v>2200</v>
      </c>
      <c r="E52" s="39">
        <v>1217</v>
      </c>
      <c r="F52" s="39">
        <v>983</v>
      </c>
      <c r="G52" s="39">
        <v>297570</v>
      </c>
      <c r="H52" s="36" t="s">
        <v>227</v>
      </c>
    </row>
    <row r="53" spans="1:8" x14ac:dyDescent="0.3">
      <c r="A53" s="36">
        <v>52</v>
      </c>
      <c r="B53" s="36">
        <v>225</v>
      </c>
      <c r="C53" s="37">
        <v>45352</v>
      </c>
      <c r="D53" s="39">
        <v>2200</v>
      </c>
      <c r="E53" s="39">
        <v>1221</v>
      </c>
      <c r="F53" s="39">
        <v>979</v>
      </c>
      <c r="G53" s="39">
        <v>296349</v>
      </c>
      <c r="H53" s="36" t="s">
        <v>227</v>
      </c>
    </row>
    <row r="54" spans="1:8" x14ac:dyDescent="0.3">
      <c r="A54" s="36">
        <v>53</v>
      </c>
      <c r="B54" s="36">
        <v>232</v>
      </c>
      <c r="C54" s="37">
        <v>45292</v>
      </c>
      <c r="D54" s="39">
        <v>3500</v>
      </c>
      <c r="E54" s="39">
        <v>2143</v>
      </c>
      <c r="F54" s="39">
        <v>1357</v>
      </c>
      <c r="G54" s="39">
        <v>397857</v>
      </c>
      <c r="H54" s="36" t="s">
        <v>227</v>
      </c>
    </row>
    <row r="55" spans="1:8" x14ac:dyDescent="0.3">
      <c r="A55" s="36">
        <v>54</v>
      </c>
      <c r="B55" s="36">
        <v>232</v>
      </c>
      <c r="C55" s="37">
        <v>45323</v>
      </c>
      <c r="D55" s="39">
        <v>3500</v>
      </c>
      <c r="E55" s="39">
        <v>2150</v>
      </c>
      <c r="F55" s="39">
        <v>1350</v>
      </c>
      <c r="G55" s="39">
        <v>395707</v>
      </c>
      <c r="H55" s="36" t="s">
        <v>227</v>
      </c>
    </row>
    <row r="56" spans="1:8" x14ac:dyDescent="0.3">
      <c r="A56" s="36">
        <v>55</v>
      </c>
      <c r="B56" s="36">
        <v>232</v>
      </c>
      <c r="C56" s="37">
        <v>45352</v>
      </c>
      <c r="D56" s="39">
        <v>3500</v>
      </c>
      <c r="E56" s="39">
        <v>2157</v>
      </c>
      <c r="F56" s="39">
        <v>1343</v>
      </c>
      <c r="G56" s="39">
        <v>393550</v>
      </c>
      <c r="H56" s="36" t="s">
        <v>227</v>
      </c>
    </row>
    <row r="57" spans="1:8" x14ac:dyDescent="0.3">
      <c r="A57" s="36">
        <v>56</v>
      </c>
      <c r="B57" s="36">
        <v>242</v>
      </c>
      <c r="C57" s="37">
        <v>45292</v>
      </c>
      <c r="D57" s="39">
        <v>2800</v>
      </c>
      <c r="E57" s="39">
        <v>1967</v>
      </c>
      <c r="F57" s="39">
        <v>833</v>
      </c>
      <c r="G57" s="39">
        <v>248033</v>
      </c>
      <c r="H57" s="36" t="s">
        <v>227</v>
      </c>
    </row>
    <row r="58" spans="1:8" x14ac:dyDescent="0.3">
      <c r="A58" s="36">
        <v>57</v>
      </c>
      <c r="B58" s="36">
        <v>242</v>
      </c>
      <c r="C58" s="37">
        <v>45323</v>
      </c>
      <c r="D58" s="39">
        <v>2800</v>
      </c>
      <c r="E58" s="39">
        <v>1974</v>
      </c>
      <c r="F58" s="39">
        <v>826</v>
      </c>
      <c r="G58" s="39">
        <v>246059</v>
      </c>
      <c r="H58" s="36" t="s">
        <v>227</v>
      </c>
    </row>
    <row r="59" spans="1:8" x14ac:dyDescent="0.3">
      <c r="A59" s="36">
        <v>58</v>
      </c>
      <c r="B59" s="36">
        <v>249</v>
      </c>
      <c r="C59" s="37">
        <v>45323</v>
      </c>
      <c r="D59" s="39">
        <v>1050</v>
      </c>
      <c r="E59" s="39">
        <v>518</v>
      </c>
      <c r="F59" s="39">
        <v>532</v>
      </c>
      <c r="G59" s="39">
        <v>224482</v>
      </c>
      <c r="H59" s="36" t="s">
        <v>227</v>
      </c>
    </row>
    <row r="60" spans="1:8" x14ac:dyDescent="0.3">
      <c r="A60" s="36">
        <v>59</v>
      </c>
      <c r="B60" s="36">
        <v>251</v>
      </c>
      <c r="C60" s="37">
        <v>45323</v>
      </c>
      <c r="D60" s="39">
        <v>3200</v>
      </c>
      <c r="E60" s="39">
        <v>1703</v>
      </c>
      <c r="F60" s="39">
        <v>1497</v>
      </c>
      <c r="G60" s="39">
        <v>348297</v>
      </c>
      <c r="H60" s="36" t="s">
        <v>227</v>
      </c>
    </row>
    <row r="61" spans="1:8" x14ac:dyDescent="0.3">
      <c r="A61" s="36">
        <v>60</v>
      </c>
      <c r="B61" s="36">
        <v>257</v>
      </c>
      <c r="C61" s="37">
        <v>45323</v>
      </c>
      <c r="D61" s="39">
        <v>1100</v>
      </c>
      <c r="E61" s="39">
        <v>557</v>
      </c>
      <c r="F61" s="39">
        <v>543</v>
      </c>
      <c r="G61" s="39">
        <v>194443</v>
      </c>
      <c r="H61" s="36" t="s">
        <v>227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12" customWidth="1"/>
    <col min="3" max="3" width="16" customWidth="1"/>
    <col min="4" max="5" width="11" customWidth="1"/>
    <col min="6" max="6" width="21" customWidth="1"/>
    <col min="7" max="7" width="11" customWidth="1"/>
    <col min="8" max="8" width="25" customWidth="1"/>
  </cols>
  <sheetData>
    <row r="1" spans="1:8" ht="24" customHeight="1" x14ac:dyDescent="0.3">
      <c r="A1" s="23" t="s">
        <v>313</v>
      </c>
      <c r="B1" s="23" t="s">
        <v>296</v>
      </c>
      <c r="C1" s="23" t="s">
        <v>307</v>
      </c>
      <c r="D1" s="23" t="s">
        <v>666</v>
      </c>
      <c r="E1" s="23" t="s">
        <v>1036</v>
      </c>
      <c r="F1" s="23" t="s">
        <v>1037</v>
      </c>
      <c r="G1" s="23" t="s">
        <v>664</v>
      </c>
      <c r="H1" s="23" t="s">
        <v>668</v>
      </c>
    </row>
    <row r="2" spans="1:8" x14ac:dyDescent="0.3">
      <c r="A2" s="36">
        <v>1</v>
      </c>
      <c r="B2" s="36">
        <v>102</v>
      </c>
      <c r="C2" s="36">
        <v>4</v>
      </c>
      <c r="D2" s="39">
        <v>1200</v>
      </c>
      <c r="E2" s="36" t="s">
        <v>1038</v>
      </c>
      <c r="F2" s="37">
        <v>45505</v>
      </c>
      <c r="G2" s="36" t="s">
        <v>176</v>
      </c>
      <c r="H2" s="36" t="s">
        <v>1039</v>
      </c>
    </row>
    <row r="3" spans="1:8" x14ac:dyDescent="0.3">
      <c r="A3" s="36">
        <v>2</v>
      </c>
      <c r="B3" s="36">
        <v>101</v>
      </c>
      <c r="C3" s="36">
        <v>2</v>
      </c>
      <c r="D3" s="39">
        <v>150</v>
      </c>
      <c r="E3" s="36" t="s">
        <v>1038</v>
      </c>
      <c r="F3" s="37">
        <v>45509</v>
      </c>
      <c r="G3" s="36" t="s">
        <v>176</v>
      </c>
      <c r="H3" s="36" t="s">
        <v>1040</v>
      </c>
    </row>
    <row r="4" spans="1:8" x14ac:dyDescent="0.3">
      <c r="A4" s="36">
        <v>3</v>
      </c>
      <c r="B4" s="36">
        <v>103</v>
      </c>
      <c r="C4" s="36">
        <v>3</v>
      </c>
      <c r="D4" s="39">
        <v>500</v>
      </c>
      <c r="E4" s="36" t="s">
        <v>1038</v>
      </c>
      <c r="F4" s="37">
        <v>45514</v>
      </c>
      <c r="G4" s="36" t="s">
        <v>176</v>
      </c>
      <c r="H4" s="36" t="s">
        <v>1041</v>
      </c>
    </row>
    <row r="5" spans="1:8" x14ac:dyDescent="0.3">
      <c r="A5" s="36">
        <v>4</v>
      </c>
      <c r="B5" s="36">
        <v>105</v>
      </c>
      <c r="C5" s="36">
        <v>6</v>
      </c>
      <c r="D5" s="39">
        <v>2000</v>
      </c>
      <c r="E5" s="36" t="s">
        <v>1038</v>
      </c>
      <c r="F5" s="37">
        <v>45524</v>
      </c>
      <c r="G5" s="36" t="s">
        <v>176</v>
      </c>
      <c r="H5" s="36" t="s">
        <v>682</v>
      </c>
    </row>
    <row r="6" spans="1:8" x14ac:dyDescent="0.3">
      <c r="A6" s="36">
        <v>5</v>
      </c>
      <c r="B6" s="36">
        <v>120</v>
      </c>
      <c r="C6" s="36">
        <v>9</v>
      </c>
      <c r="D6" s="39">
        <v>3000</v>
      </c>
      <c r="E6" s="36" t="s">
        <v>1038</v>
      </c>
      <c r="F6" s="37">
        <v>45505</v>
      </c>
      <c r="G6" s="36" t="s">
        <v>176</v>
      </c>
      <c r="H6" s="36" t="s">
        <v>1042</v>
      </c>
    </row>
    <row r="7" spans="1:8" x14ac:dyDescent="0.3">
      <c r="A7" s="36">
        <v>6</v>
      </c>
      <c r="B7" s="36">
        <v>129</v>
      </c>
      <c r="C7" s="36">
        <v>10</v>
      </c>
      <c r="D7" s="39">
        <v>5000</v>
      </c>
      <c r="E7" s="36" t="s">
        <v>1038</v>
      </c>
      <c r="F7" s="37">
        <v>45505</v>
      </c>
      <c r="G7" s="36" t="s">
        <v>176</v>
      </c>
      <c r="H7" s="36" t="s">
        <v>1043</v>
      </c>
    </row>
    <row r="8" spans="1:8" x14ac:dyDescent="0.3">
      <c r="A8" s="36">
        <v>7</v>
      </c>
      <c r="B8" s="36">
        <v>111</v>
      </c>
      <c r="C8" s="36">
        <v>8</v>
      </c>
      <c r="D8" s="39">
        <v>10000</v>
      </c>
      <c r="E8" s="36" t="s">
        <v>1038</v>
      </c>
      <c r="F8" s="37">
        <v>45519</v>
      </c>
      <c r="G8" s="36" t="s">
        <v>176</v>
      </c>
      <c r="H8" s="36" t="s">
        <v>1044</v>
      </c>
    </row>
    <row r="9" spans="1:8" x14ac:dyDescent="0.3">
      <c r="A9" s="36">
        <v>8</v>
      </c>
      <c r="B9" s="36">
        <v>138</v>
      </c>
      <c r="C9" s="36">
        <v>12</v>
      </c>
      <c r="D9" s="39">
        <v>4000</v>
      </c>
      <c r="E9" s="36" t="s">
        <v>1038</v>
      </c>
      <c r="F9" s="37">
        <v>45505</v>
      </c>
      <c r="G9" s="36" t="s">
        <v>176</v>
      </c>
      <c r="H9" s="36" t="s">
        <v>1045</v>
      </c>
    </row>
    <row r="10" spans="1:8" x14ac:dyDescent="0.3">
      <c r="A10" s="36">
        <v>9</v>
      </c>
      <c r="B10" s="36">
        <v>107</v>
      </c>
      <c r="C10" s="36">
        <v>14</v>
      </c>
      <c r="D10" s="39">
        <v>200</v>
      </c>
      <c r="E10" s="36" t="s">
        <v>1038</v>
      </c>
      <c r="F10" s="37">
        <v>45518</v>
      </c>
      <c r="G10" s="36" t="s">
        <v>176</v>
      </c>
      <c r="H10" s="36" t="s">
        <v>1046</v>
      </c>
    </row>
    <row r="11" spans="1:8" x14ac:dyDescent="0.3">
      <c r="A11" s="36">
        <v>10</v>
      </c>
      <c r="B11" s="36">
        <v>109</v>
      </c>
      <c r="C11" s="36">
        <v>15</v>
      </c>
      <c r="D11" s="39">
        <v>950</v>
      </c>
      <c r="E11" s="36" t="s">
        <v>1038</v>
      </c>
      <c r="F11" s="37">
        <v>45519</v>
      </c>
      <c r="G11" s="36" t="s">
        <v>176</v>
      </c>
      <c r="H11" s="36" t="s">
        <v>1042</v>
      </c>
    </row>
    <row r="12" spans="1:8" x14ac:dyDescent="0.3">
      <c r="A12" s="36">
        <v>11</v>
      </c>
      <c r="B12" s="36">
        <v>104</v>
      </c>
      <c r="C12" s="36">
        <v>16</v>
      </c>
      <c r="D12" s="39">
        <v>50</v>
      </c>
      <c r="E12" s="36" t="s">
        <v>1038</v>
      </c>
      <c r="F12" s="37">
        <v>45514</v>
      </c>
      <c r="G12" s="36" t="s">
        <v>176</v>
      </c>
      <c r="H12" s="36" t="s">
        <v>1047</v>
      </c>
    </row>
    <row r="13" spans="1:8" x14ac:dyDescent="0.3">
      <c r="A13" s="36">
        <v>12</v>
      </c>
      <c r="B13" s="36">
        <v>106</v>
      </c>
      <c r="C13" s="36">
        <v>17</v>
      </c>
      <c r="D13" s="39">
        <v>300</v>
      </c>
      <c r="E13" s="36" t="s">
        <v>1038</v>
      </c>
      <c r="F13" s="37">
        <v>45505</v>
      </c>
      <c r="G13" s="36" t="s">
        <v>1048</v>
      </c>
      <c r="H13" s="36" t="s">
        <v>1049</v>
      </c>
    </row>
    <row r="14" spans="1:8" x14ac:dyDescent="0.3">
      <c r="A14" s="36">
        <v>13</v>
      </c>
      <c r="B14" s="36">
        <v>108</v>
      </c>
      <c r="C14" s="36">
        <v>19</v>
      </c>
      <c r="D14" s="39">
        <v>80</v>
      </c>
      <c r="E14" s="36" t="s">
        <v>1038</v>
      </c>
      <c r="F14" s="37">
        <v>45534</v>
      </c>
      <c r="G14" s="36" t="s">
        <v>176</v>
      </c>
      <c r="H14" s="36" t="s">
        <v>1050</v>
      </c>
    </row>
    <row r="15" spans="1:8" x14ac:dyDescent="0.3">
      <c r="A15" s="36">
        <v>14</v>
      </c>
      <c r="B15" s="36">
        <v>114</v>
      </c>
      <c r="C15" s="36">
        <v>20</v>
      </c>
      <c r="D15" s="39">
        <v>1100</v>
      </c>
      <c r="E15" s="36" t="s">
        <v>1038</v>
      </c>
      <c r="F15" s="37">
        <v>45519</v>
      </c>
      <c r="G15" s="36" t="s">
        <v>176</v>
      </c>
      <c r="H15" s="36" t="s">
        <v>1039</v>
      </c>
    </row>
    <row r="16" spans="1:8" x14ac:dyDescent="0.3">
      <c r="A16" s="36">
        <v>15</v>
      </c>
      <c r="B16" s="36">
        <v>124</v>
      </c>
      <c r="C16" s="36">
        <v>20</v>
      </c>
      <c r="D16" s="39">
        <v>500</v>
      </c>
      <c r="E16" s="36" t="s">
        <v>1038</v>
      </c>
      <c r="F16" s="37">
        <v>45505</v>
      </c>
      <c r="G16" s="36" t="s">
        <v>1051</v>
      </c>
      <c r="H16" s="36" t="s">
        <v>1052</v>
      </c>
    </row>
    <row r="17" spans="1:8" x14ac:dyDescent="0.3">
      <c r="A17" s="36">
        <v>16</v>
      </c>
      <c r="B17" s="36">
        <v>116</v>
      </c>
      <c r="C17" s="36">
        <v>37</v>
      </c>
      <c r="D17" s="39">
        <v>200</v>
      </c>
      <c r="E17" s="36" t="s">
        <v>1038</v>
      </c>
      <c r="F17" s="37">
        <v>45536</v>
      </c>
      <c r="G17" s="36" t="s">
        <v>176</v>
      </c>
      <c r="H17" s="36" t="s">
        <v>1046</v>
      </c>
    </row>
    <row r="18" spans="1:8" x14ac:dyDescent="0.3">
      <c r="A18" s="36">
        <v>17</v>
      </c>
      <c r="B18" s="36">
        <v>118</v>
      </c>
      <c r="C18" s="36">
        <v>23</v>
      </c>
      <c r="D18" s="39">
        <v>1800</v>
      </c>
      <c r="E18" s="36" t="s">
        <v>1038</v>
      </c>
      <c r="F18" s="37">
        <v>45536</v>
      </c>
      <c r="G18" s="36" t="s">
        <v>176</v>
      </c>
      <c r="H18" s="36" t="s">
        <v>1042</v>
      </c>
    </row>
    <row r="19" spans="1:8" x14ac:dyDescent="0.3">
      <c r="A19" s="36">
        <v>18</v>
      </c>
      <c r="B19" s="36">
        <v>120</v>
      </c>
      <c r="C19" s="36">
        <v>22</v>
      </c>
      <c r="D19" s="39">
        <v>600</v>
      </c>
      <c r="E19" s="36" t="s">
        <v>1038</v>
      </c>
      <c r="F19" s="37">
        <v>45536</v>
      </c>
      <c r="G19" s="36" t="s">
        <v>176</v>
      </c>
      <c r="H19" s="36" t="s">
        <v>1053</v>
      </c>
    </row>
    <row r="20" spans="1:8" x14ac:dyDescent="0.3">
      <c r="A20" s="36">
        <v>19</v>
      </c>
      <c r="B20" s="36">
        <v>122</v>
      </c>
      <c r="C20" s="36">
        <v>22</v>
      </c>
      <c r="D20" s="39">
        <v>100</v>
      </c>
      <c r="E20" s="36" t="s">
        <v>1038</v>
      </c>
      <c r="F20" s="37">
        <v>45550</v>
      </c>
      <c r="G20" s="36" t="s">
        <v>176</v>
      </c>
      <c r="H20" s="36" t="s">
        <v>1054</v>
      </c>
    </row>
    <row r="21" spans="1:8" x14ac:dyDescent="0.3">
      <c r="A21" s="36">
        <v>20</v>
      </c>
      <c r="B21" s="36">
        <v>124</v>
      </c>
      <c r="C21" s="36">
        <v>23</v>
      </c>
      <c r="D21" s="39">
        <v>1200</v>
      </c>
      <c r="E21" s="36" t="s">
        <v>1038</v>
      </c>
      <c r="F21" s="37">
        <v>45536</v>
      </c>
      <c r="G21" s="36" t="s">
        <v>176</v>
      </c>
      <c r="H21" s="36" t="s">
        <v>1042</v>
      </c>
    </row>
    <row r="22" spans="1:8" x14ac:dyDescent="0.3">
      <c r="A22" s="36">
        <v>21</v>
      </c>
      <c r="B22" s="36">
        <v>125</v>
      </c>
      <c r="C22" s="36">
        <v>37</v>
      </c>
      <c r="D22" s="39">
        <v>150</v>
      </c>
      <c r="E22" s="36" t="s">
        <v>1038</v>
      </c>
      <c r="F22" s="37">
        <v>45536</v>
      </c>
      <c r="G22" s="36" t="s">
        <v>176</v>
      </c>
      <c r="H22" s="36" t="s">
        <v>943</v>
      </c>
    </row>
    <row r="23" spans="1:8" x14ac:dyDescent="0.3">
      <c r="A23" s="36">
        <v>22</v>
      </c>
      <c r="B23" s="36">
        <v>127</v>
      </c>
      <c r="C23" s="36">
        <v>23</v>
      </c>
      <c r="D23" s="39">
        <v>500</v>
      </c>
      <c r="E23" s="36" t="s">
        <v>1038</v>
      </c>
      <c r="F23" s="37">
        <v>45536</v>
      </c>
      <c r="G23" s="36" t="s">
        <v>176</v>
      </c>
      <c r="H23" s="36" t="s">
        <v>1041</v>
      </c>
    </row>
    <row r="24" spans="1:8" x14ac:dyDescent="0.3">
      <c r="A24" s="36">
        <v>23</v>
      </c>
      <c r="B24" s="36">
        <v>129</v>
      </c>
      <c r="C24" s="36">
        <v>24</v>
      </c>
      <c r="D24" s="39">
        <v>2500</v>
      </c>
      <c r="E24" s="36" t="s">
        <v>1038</v>
      </c>
      <c r="F24" s="37">
        <v>45536</v>
      </c>
      <c r="G24" s="36" t="s">
        <v>176</v>
      </c>
      <c r="H24" s="36" t="s">
        <v>1055</v>
      </c>
    </row>
    <row r="25" spans="1:8" x14ac:dyDescent="0.3">
      <c r="A25" s="36">
        <v>24</v>
      </c>
      <c r="B25" s="36">
        <v>131</v>
      </c>
      <c r="C25" s="36">
        <v>22</v>
      </c>
      <c r="D25" s="39">
        <v>200</v>
      </c>
      <c r="E25" s="36" t="s">
        <v>1038</v>
      </c>
      <c r="F25" s="37">
        <v>45550</v>
      </c>
      <c r="G25" s="36" t="s">
        <v>176</v>
      </c>
      <c r="H25" s="36" t="s">
        <v>1056</v>
      </c>
    </row>
    <row r="26" spans="1:8" x14ac:dyDescent="0.3">
      <c r="A26" s="36">
        <v>25</v>
      </c>
      <c r="B26" s="36">
        <v>133</v>
      </c>
      <c r="C26" s="36">
        <v>25</v>
      </c>
      <c r="D26" s="39">
        <v>700</v>
      </c>
      <c r="E26" s="36" t="s">
        <v>1038</v>
      </c>
      <c r="F26" s="37">
        <v>45536</v>
      </c>
      <c r="G26" s="36" t="s">
        <v>176</v>
      </c>
      <c r="H26" s="36" t="s">
        <v>1057</v>
      </c>
    </row>
    <row r="27" spans="1:8" x14ac:dyDescent="0.3">
      <c r="A27" s="36">
        <v>26</v>
      </c>
      <c r="B27" s="36">
        <v>133</v>
      </c>
      <c r="C27" s="36">
        <v>42</v>
      </c>
      <c r="D27" s="39">
        <v>1500</v>
      </c>
      <c r="E27" s="36" t="s">
        <v>1038</v>
      </c>
      <c r="F27" s="37">
        <v>45545</v>
      </c>
      <c r="G27" s="36" t="s">
        <v>176</v>
      </c>
      <c r="H27" s="36" t="s">
        <v>1058</v>
      </c>
    </row>
    <row r="28" spans="1:8" x14ac:dyDescent="0.3">
      <c r="A28" s="36">
        <v>27</v>
      </c>
      <c r="B28" s="36">
        <v>136</v>
      </c>
      <c r="C28" s="36">
        <v>26</v>
      </c>
      <c r="D28" s="39">
        <v>1800</v>
      </c>
      <c r="E28" s="36" t="s">
        <v>1038</v>
      </c>
      <c r="F28" s="37">
        <v>45536</v>
      </c>
      <c r="G28" s="36" t="s">
        <v>176</v>
      </c>
      <c r="H28" s="36" t="s">
        <v>670</v>
      </c>
    </row>
    <row r="29" spans="1:8" x14ac:dyDescent="0.3">
      <c r="A29" s="36">
        <v>28</v>
      </c>
      <c r="B29" s="36">
        <v>138</v>
      </c>
      <c r="C29" s="36">
        <v>27</v>
      </c>
      <c r="D29" s="39">
        <v>3500</v>
      </c>
      <c r="E29" s="36" t="s">
        <v>1038</v>
      </c>
      <c r="F29" s="37">
        <v>45536</v>
      </c>
      <c r="G29" s="36" t="s">
        <v>176</v>
      </c>
      <c r="H29" s="36" t="s">
        <v>875</v>
      </c>
    </row>
    <row r="30" spans="1:8" x14ac:dyDescent="0.3">
      <c r="A30" s="36">
        <v>29</v>
      </c>
      <c r="B30" s="36">
        <v>139</v>
      </c>
      <c r="C30" s="36">
        <v>42</v>
      </c>
      <c r="D30" s="39">
        <v>500</v>
      </c>
      <c r="E30" s="36" t="s">
        <v>1038</v>
      </c>
      <c r="F30" s="37">
        <v>45550</v>
      </c>
      <c r="G30" s="36" t="s">
        <v>176</v>
      </c>
      <c r="H30" s="36" t="s">
        <v>1059</v>
      </c>
    </row>
    <row r="31" spans="1:8" x14ac:dyDescent="0.3">
      <c r="A31" s="36">
        <v>30</v>
      </c>
      <c r="B31" s="36">
        <v>140</v>
      </c>
      <c r="C31" s="36">
        <v>28</v>
      </c>
      <c r="D31" s="39">
        <v>900</v>
      </c>
      <c r="E31" s="36" t="s">
        <v>1038</v>
      </c>
      <c r="F31" s="37">
        <v>45536</v>
      </c>
      <c r="G31" s="36" t="s">
        <v>176</v>
      </c>
      <c r="H31" s="36" t="s">
        <v>1060</v>
      </c>
    </row>
    <row r="32" spans="1:8" x14ac:dyDescent="0.3">
      <c r="A32" s="36">
        <v>31</v>
      </c>
      <c r="B32" s="36">
        <v>142</v>
      </c>
      <c r="C32" s="36">
        <v>28</v>
      </c>
      <c r="D32" s="39">
        <v>250</v>
      </c>
      <c r="E32" s="36" t="s">
        <v>1038</v>
      </c>
      <c r="F32" s="37">
        <v>45545</v>
      </c>
      <c r="G32" s="36" t="s">
        <v>176</v>
      </c>
      <c r="H32" s="36" t="s">
        <v>955</v>
      </c>
    </row>
    <row r="33" spans="1:8" x14ac:dyDescent="0.3">
      <c r="A33" s="36">
        <v>32</v>
      </c>
      <c r="B33" s="36">
        <v>145</v>
      </c>
      <c r="C33" s="36">
        <v>29</v>
      </c>
      <c r="D33" s="39">
        <v>2000</v>
      </c>
      <c r="E33" s="36" t="s">
        <v>1038</v>
      </c>
      <c r="F33" s="37">
        <v>45536</v>
      </c>
      <c r="G33" s="36" t="s">
        <v>176</v>
      </c>
      <c r="H33" s="36" t="s">
        <v>1061</v>
      </c>
    </row>
    <row r="34" spans="1:8" x14ac:dyDescent="0.3">
      <c r="A34" s="36">
        <v>33</v>
      </c>
      <c r="B34" s="36">
        <v>148</v>
      </c>
      <c r="C34" s="36">
        <v>30</v>
      </c>
      <c r="D34" s="39">
        <v>4000</v>
      </c>
      <c r="E34" s="36" t="s">
        <v>1038</v>
      </c>
      <c r="F34" s="37">
        <v>45536</v>
      </c>
      <c r="G34" s="36" t="s">
        <v>176</v>
      </c>
      <c r="H34" s="36" t="s">
        <v>1044</v>
      </c>
    </row>
    <row r="35" spans="1:8" x14ac:dyDescent="0.3">
      <c r="A35" s="36">
        <v>34</v>
      </c>
      <c r="B35" s="36">
        <v>150</v>
      </c>
      <c r="C35" s="36">
        <v>31</v>
      </c>
      <c r="D35" s="39">
        <v>1200</v>
      </c>
      <c r="E35" s="36" t="s">
        <v>1038</v>
      </c>
      <c r="F35" s="37">
        <v>45536</v>
      </c>
      <c r="G35" s="36" t="s">
        <v>176</v>
      </c>
      <c r="H35" s="36" t="s">
        <v>1043</v>
      </c>
    </row>
    <row r="36" spans="1:8" x14ac:dyDescent="0.3">
      <c r="A36" s="36">
        <v>35</v>
      </c>
      <c r="B36" s="36">
        <v>152</v>
      </c>
      <c r="C36" s="36">
        <v>32</v>
      </c>
      <c r="D36" s="39">
        <v>300</v>
      </c>
      <c r="E36" s="36" t="s">
        <v>1038</v>
      </c>
      <c r="F36" s="37">
        <v>45536</v>
      </c>
      <c r="G36" s="36" t="s">
        <v>176</v>
      </c>
      <c r="H36" s="36" t="s">
        <v>943</v>
      </c>
    </row>
    <row r="37" spans="1:8" x14ac:dyDescent="0.3">
      <c r="A37" s="36">
        <v>36</v>
      </c>
      <c r="B37" s="36">
        <v>154</v>
      </c>
      <c r="C37" s="36">
        <v>33</v>
      </c>
      <c r="D37" s="39">
        <v>700</v>
      </c>
      <c r="E37" s="36" t="s">
        <v>1038</v>
      </c>
      <c r="F37" s="37">
        <v>45545</v>
      </c>
      <c r="G37" s="36" t="s">
        <v>176</v>
      </c>
      <c r="H37" s="36" t="s">
        <v>955</v>
      </c>
    </row>
    <row r="38" spans="1:8" x14ac:dyDescent="0.3">
      <c r="A38" s="36">
        <v>37</v>
      </c>
      <c r="B38" s="36">
        <v>156</v>
      </c>
      <c r="C38" s="36">
        <v>34</v>
      </c>
      <c r="D38" s="39">
        <v>1800</v>
      </c>
      <c r="E38" s="36" t="s">
        <v>1038</v>
      </c>
      <c r="F38" s="37">
        <v>45536</v>
      </c>
      <c r="G38" s="36" t="s">
        <v>176</v>
      </c>
      <c r="H38" s="36" t="s">
        <v>1042</v>
      </c>
    </row>
    <row r="39" spans="1:8" x14ac:dyDescent="0.3">
      <c r="A39" s="36">
        <v>38</v>
      </c>
      <c r="B39" s="36">
        <v>158</v>
      </c>
      <c r="C39" s="36">
        <v>35</v>
      </c>
      <c r="D39" s="39">
        <v>600</v>
      </c>
      <c r="E39" s="36" t="s">
        <v>1038</v>
      </c>
      <c r="F39" s="37">
        <v>45536</v>
      </c>
      <c r="G39" s="36" t="s">
        <v>176</v>
      </c>
      <c r="H39" s="36" t="s">
        <v>1049</v>
      </c>
    </row>
    <row r="40" spans="1:8" x14ac:dyDescent="0.3">
      <c r="A40" s="36">
        <v>39</v>
      </c>
      <c r="B40" s="36">
        <v>160</v>
      </c>
      <c r="C40" s="36">
        <v>36</v>
      </c>
      <c r="D40" s="39">
        <v>2500</v>
      </c>
      <c r="E40" s="36" t="s">
        <v>1038</v>
      </c>
      <c r="F40" s="37">
        <v>45536</v>
      </c>
      <c r="G40" s="36" t="s">
        <v>176</v>
      </c>
      <c r="H40" s="36" t="s">
        <v>1062</v>
      </c>
    </row>
    <row r="41" spans="1:8" x14ac:dyDescent="0.3">
      <c r="A41" s="36">
        <v>40</v>
      </c>
      <c r="B41" s="36">
        <v>162</v>
      </c>
      <c r="C41" s="36">
        <v>37</v>
      </c>
      <c r="D41" s="39">
        <v>1800</v>
      </c>
      <c r="E41" s="36" t="s">
        <v>1038</v>
      </c>
      <c r="F41" s="37">
        <v>45536</v>
      </c>
      <c r="G41" s="36" t="s">
        <v>176</v>
      </c>
      <c r="H41" s="36" t="s">
        <v>927</v>
      </c>
    </row>
    <row r="42" spans="1:8" x14ac:dyDescent="0.3">
      <c r="A42" s="36">
        <v>41</v>
      </c>
      <c r="B42" s="36">
        <v>164</v>
      </c>
      <c r="C42" s="36">
        <v>38</v>
      </c>
      <c r="D42" s="39">
        <v>500</v>
      </c>
      <c r="E42" s="36" t="s">
        <v>1038</v>
      </c>
      <c r="F42" s="37">
        <v>45550</v>
      </c>
      <c r="G42" s="36" t="s">
        <v>176</v>
      </c>
      <c r="H42" s="36" t="s">
        <v>1063</v>
      </c>
    </row>
    <row r="43" spans="1:8" x14ac:dyDescent="0.3">
      <c r="A43" s="36">
        <v>42</v>
      </c>
      <c r="B43" s="36">
        <v>166</v>
      </c>
      <c r="C43" s="36">
        <v>39</v>
      </c>
      <c r="D43" s="39">
        <v>1500</v>
      </c>
      <c r="E43" s="36" t="s">
        <v>1038</v>
      </c>
      <c r="F43" s="37">
        <v>45536</v>
      </c>
      <c r="G43" s="36" t="s">
        <v>176</v>
      </c>
      <c r="H43" s="36" t="s">
        <v>1042</v>
      </c>
    </row>
    <row r="44" spans="1:8" x14ac:dyDescent="0.3">
      <c r="A44" s="36">
        <v>43</v>
      </c>
      <c r="B44" s="36">
        <v>169</v>
      </c>
      <c r="C44" s="36">
        <v>39</v>
      </c>
      <c r="D44" s="39">
        <v>1800</v>
      </c>
      <c r="E44" s="36" t="s">
        <v>1038</v>
      </c>
      <c r="F44" s="37">
        <v>45536</v>
      </c>
      <c r="G44" s="36" t="s">
        <v>176</v>
      </c>
      <c r="H44" s="36" t="s">
        <v>1042</v>
      </c>
    </row>
    <row r="45" spans="1:8" x14ac:dyDescent="0.3">
      <c r="A45" s="36">
        <v>44</v>
      </c>
      <c r="B45" s="36">
        <v>171</v>
      </c>
      <c r="C45" s="36">
        <v>40</v>
      </c>
      <c r="D45" s="39">
        <v>500</v>
      </c>
      <c r="E45" s="36" t="s">
        <v>1038</v>
      </c>
      <c r="F45" s="37">
        <v>45536</v>
      </c>
      <c r="G45" s="36" t="s">
        <v>176</v>
      </c>
      <c r="H45" s="36" t="s">
        <v>1064</v>
      </c>
    </row>
    <row r="46" spans="1:8" x14ac:dyDescent="0.3">
      <c r="A46" s="36">
        <v>45</v>
      </c>
      <c r="B46" s="36">
        <v>173</v>
      </c>
      <c r="C46" s="36">
        <v>41</v>
      </c>
      <c r="D46" s="39">
        <v>3000</v>
      </c>
      <c r="E46" s="36" t="s">
        <v>1038</v>
      </c>
      <c r="F46" s="37">
        <v>45536</v>
      </c>
      <c r="G46" s="36" t="s">
        <v>176</v>
      </c>
      <c r="H46" s="36" t="s">
        <v>1061</v>
      </c>
    </row>
    <row r="47" spans="1:8" x14ac:dyDescent="0.3">
      <c r="A47" s="36">
        <v>46</v>
      </c>
      <c r="B47" s="36">
        <v>173</v>
      </c>
      <c r="C47" s="36">
        <v>42</v>
      </c>
      <c r="D47" s="39">
        <v>800</v>
      </c>
      <c r="E47" s="36" t="s">
        <v>1038</v>
      </c>
      <c r="F47" s="37">
        <v>45545</v>
      </c>
      <c r="G47" s="36" t="s">
        <v>176</v>
      </c>
      <c r="H47" s="36" t="s">
        <v>994</v>
      </c>
    </row>
    <row r="48" spans="1:8" x14ac:dyDescent="0.3">
      <c r="A48" s="36">
        <v>47</v>
      </c>
      <c r="B48" s="36">
        <v>176</v>
      </c>
      <c r="C48" s="36">
        <v>44</v>
      </c>
      <c r="D48" s="39">
        <v>600</v>
      </c>
      <c r="E48" s="36" t="s">
        <v>1038</v>
      </c>
      <c r="F48" s="37">
        <v>45536</v>
      </c>
      <c r="G48" s="36" t="s">
        <v>176</v>
      </c>
      <c r="H48" s="36" t="s">
        <v>1049</v>
      </c>
    </row>
    <row r="49" spans="1:8" x14ac:dyDescent="0.3">
      <c r="A49" s="36">
        <v>48</v>
      </c>
      <c r="B49" s="36">
        <v>177</v>
      </c>
      <c r="C49" s="36">
        <v>45</v>
      </c>
      <c r="D49" s="39">
        <v>2400</v>
      </c>
      <c r="E49" s="36" t="s">
        <v>1038</v>
      </c>
      <c r="F49" s="37">
        <v>45536</v>
      </c>
      <c r="G49" s="36" t="s">
        <v>176</v>
      </c>
      <c r="H49" s="36" t="s">
        <v>927</v>
      </c>
    </row>
    <row r="50" spans="1:8" x14ac:dyDescent="0.3">
      <c r="A50" s="36">
        <v>49</v>
      </c>
      <c r="B50" s="36">
        <v>178</v>
      </c>
      <c r="C50" s="36">
        <v>46</v>
      </c>
      <c r="D50" s="39">
        <v>1200</v>
      </c>
      <c r="E50" s="36" t="s">
        <v>1038</v>
      </c>
      <c r="F50" s="37">
        <v>45536</v>
      </c>
      <c r="G50" s="36" t="s">
        <v>176</v>
      </c>
      <c r="H50" s="36" t="s">
        <v>1061</v>
      </c>
    </row>
    <row r="51" spans="1:8" x14ac:dyDescent="0.3">
      <c r="A51" s="36">
        <v>50</v>
      </c>
      <c r="B51" s="36">
        <v>179</v>
      </c>
      <c r="C51" s="36">
        <v>47</v>
      </c>
      <c r="D51" s="39">
        <v>200</v>
      </c>
      <c r="E51" s="36" t="s">
        <v>1038</v>
      </c>
      <c r="F51" s="37">
        <v>45536</v>
      </c>
      <c r="G51" s="36" t="s">
        <v>176</v>
      </c>
      <c r="H51" s="36" t="s">
        <v>955</v>
      </c>
    </row>
    <row r="52" spans="1:8" x14ac:dyDescent="0.3">
      <c r="A52" s="36">
        <v>51</v>
      </c>
      <c r="B52" s="36">
        <v>181</v>
      </c>
      <c r="C52" s="36">
        <v>48</v>
      </c>
      <c r="D52" s="39">
        <v>3000</v>
      </c>
      <c r="E52" s="36" t="s">
        <v>1038</v>
      </c>
      <c r="F52" s="37">
        <v>45536</v>
      </c>
      <c r="G52" s="36" t="s">
        <v>176</v>
      </c>
      <c r="H52" s="36" t="s">
        <v>1063</v>
      </c>
    </row>
    <row r="53" spans="1:8" x14ac:dyDescent="0.3">
      <c r="A53" s="36">
        <v>52</v>
      </c>
      <c r="B53" s="36">
        <v>182</v>
      </c>
      <c r="C53" s="36">
        <v>49</v>
      </c>
      <c r="D53" s="39">
        <v>400</v>
      </c>
      <c r="E53" s="36" t="s">
        <v>1038</v>
      </c>
      <c r="F53" s="37">
        <v>45536</v>
      </c>
      <c r="G53" s="36" t="s">
        <v>176</v>
      </c>
      <c r="H53" s="36" t="s">
        <v>1049</v>
      </c>
    </row>
    <row r="54" spans="1:8" x14ac:dyDescent="0.3">
      <c r="A54" s="36">
        <v>53</v>
      </c>
      <c r="B54" s="36">
        <v>101</v>
      </c>
      <c r="C54" s="36">
        <v>50</v>
      </c>
      <c r="D54" s="39">
        <v>600</v>
      </c>
      <c r="E54" s="36" t="s">
        <v>1038</v>
      </c>
      <c r="F54" s="37">
        <v>45536</v>
      </c>
      <c r="G54" s="36" t="s">
        <v>176</v>
      </c>
      <c r="H54" s="36" t="s">
        <v>1065</v>
      </c>
    </row>
    <row r="55" spans="1:8" x14ac:dyDescent="0.3">
      <c r="A55" s="36">
        <v>54</v>
      </c>
      <c r="B55" s="36">
        <v>103</v>
      </c>
      <c r="C55" s="36">
        <v>51</v>
      </c>
      <c r="D55" s="39">
        <v>800</v>
      </c>
      <c r="E55" s="36" t="s">
        <v>1038</v>
      </c>
      <c r="F55" s="37">
        <v>45536</v>
      </c>
      <c r="G55" s="36" t="s">
        <v>176</v>
      </c>
      <c r="H55" s="36" t="s">
        <v>1066</v>
      </c>
    </row>
    <row r="56" spans="1:8" x14ac:dyDescent="0.3">
      <c r="A56" s="36">
        <v>55</v>
      </c>
      <c r="B56" s="36">
        <v>105</v>
      </c>
      <c r="C56" s="36">
        <v>52</v>
      </c>
      <c r="D56" s="39">
        <v>3000</v>
      </c>
      <c r="E56" s="36" t="s">
        <v>1038</v>
      </c>
      <c r="F56" s="37">
        <v>45536</v>
      </c>
      <c r="G56" s="36" t="s">
        <v>176</v>
      </c>
      <c r="H56" s="36" t="s">
        <v>1067</v>
      </c>
    </row>
    <row r="57" spans="1:8" x14ac:dyDescent="0.3">
      <c r="A57" s="36">
        <v>56</v>
      </c>
      <c r="B57" s="36">
        <v>107</v>
      </c>
      <c r="C57" s="36">
        <v>53</v>
      </c>
      <c r="D57" s="39">
        <v>1500</v>
      </c>
      <c r="E57" s="36" t="s">
        <v>1038</v>
      </c>
      <c r="F57" s="37">
        <v>45536</v>
      </c>
      <c r="G57" s="36" t="s">
        <v>176</v>
      </c>
      <c r="H57" s="36" t="s">
        <v>1068</v>
      </c>
    </row>
    <row r="58" spans="1:8" x14ac:dyDescent="0.3">
      <c r="A58" s="36">
        <v>57</v>
      </c>
      <c r="B58" s="36">
        <v>111</v>
      </c>
      <c r="C58" s="36">
        <v>57</v>
      </c>
      <c r="D58" s="39">
        <v>2000</v>
      </c>
      <c r="E58" s="36" t="s">
        <v>1038</v>
      </c>
      <c r="F58" s="37">
        <v>45536</v>
      </c>
      <c r="G58" s="36" t="s">
        <v>176</v>
      </c>
      <c r="H58" s="36" t="s">
        <v>1069</v>
      </c>
    </row>
    <row r="59" spans="1:8" x14ac:dyDescent="0.3">
      <c r="A59" s="36">
        <v>58</v>
      </c>
      <c r="B59" s="36">
        <v>114</v>
      </c>
      <c r="C59" s="36">
        <v>56</v>
      </c>
      <c r="D59" s="39">
        <v>800</v>
      </c>
      <c r="E59" s="36" t="s">
        <v>1038</v>
      </c>
      <c r="F59" s="37">
        <v>45536</v>
      </c>
      <c r="G59" s="36" t="s">
        <v>176</v>
      </c>
      <c r="H59" s="36" t="s">
        <v>1070</v>
      </c>
    </row>
    <row r="60" spans="1:8" x14ac:dyDescent="0.3">
      <c r="A60" s="36">
        <v>59</v>
      </c>
      <c r="B60" s="36">
        <v>120</v>
      </c>
      <c r="C60" s="36">
        <v>58</v>
      </c>
      <c r="D60" s="39">
        <v>5000</v>
      </c>
      <c r="E60" s="36" t="s">
        <v>1038</v>
      </c>
      <c r="F60" s="37">
        <v>45536</v>
      </c>
      <c r="G60" s="36" t="s">
        <v>176</v>
      </c>
      <c r="H60" s="36" t="s">
        <v>890</v>
      </c>
    </row>
    <row r="61" spans="1:8" x14ac:dyDescent="0.3">
      <c r="A61" s="36">
        <v>60</v>
      </c>
      <c r="B61" s="36">
        <v>129</v>
      </c>
      <c r="C61" s="36">
        <v>59</v>
      </c>
      <c r="D61" s="39">
        <v>2500</v>
      </c>
      <c r="E61" s="36" t="s">
        <v>1038</v>
      </c>
      <c r="F61" s="37">
        <v>45536</v>
      </c>
      <c r="G61" s="36" t="s">
        <v>176</v>
      </c>
      <c r="H61" s="36" t="s">
        <v>1071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1" customWidth="1"/>
    <col min="3" max="4" width="26" customWidth="1"/>
    <col min="5" max="5" width="16" customWidth="1"/>
    <col min="6" max="6" width="18" customWidth="1"/>
    <col min="7" max="7" width="16" customWidth="1"/>
  </cols>
  <sheetData>
    <row r="1" spans="1:7" ht="24" customHeight="1" x14ac:dyDescent="0.3">
      <c r="A1" s="23" t="s">
        <v>315</v>
      </c>
      <c r="B1" s="23" t="s">
        <v>292</v>
      </c>
      <c r="C1" s="23" t="s">
        <v>1072</v>
      </c>
      <c r="D1" s="23" t="s">
        <v>1073</v>
      </c>
      <c r="E1" s="23" t="s">
        <v>664</v>
      </c>
      <c r="F1" s="23" t="s">
        <v>1074</v>
      </c>
      <c r="G1" s="23" t="s">
        <v>1075</v>
      </c>
    </row>
    <row r="2" spans="1:7" x14ac:dyDescent="0.3">
      <c r="A2" s="36">
        <v>1</v>
      </c>
      <c r="B2" s="36">
        <v>1</v>
      </c>
      <c r="C2" s="36" t="s">
        <v>1076</v>
      </c>
      <c r="D2" s="36" t="s">
        <v>1077</v>
      </c>
      <c r="E2" s="36" t="s">
        <v>176</v>
      </c>
      <c r="F2" s="37">
        <v>45306</v>
      </c>
      <c r="G2" s="39">
        <v>50000</v>
      </c>
    </row>
    <row r="3" spans="1:7" x14ac:dyDescent="0.3">
      <c r="A3" s="36">
        <v>2</v>
      </c>
      <c r="B3" s="36">
        <v>1</v>
      </c>
      <c r="C3" s="36" t="s">
        <v>1078</v>
      </c>
      <c r="D3" s="36" t="s">
        <v>1077</v>
      </c>
      <c r="E3" s="36" t="s">
        <v>176</v>
      </c>
      <c r="F3" s="37">
        <v>45323</v>
      </c>
      <c r="G3" s="39">
        <v>30000</v>
      </c>
    </row>
    <row r="4" spans="1:7" x14ac:dyDescent="0.3">
      <c r="A4" s="36">
        <v>3</v>
      </c>
      <c r="B4" s="36">
        <v>2</v>
      </c>
      <c r="C4" s="36" t="s">
        <v>1079</v>
      </c>
      <c r="D4" s="36" t="s">
        <v>1080</v>
      </c>
      <c r="E4" s="36" t="s">
        <v>176</v>
      </c>
      <c r="F4" s="37">
        <v>45311</v>
      </c>
      <c r="G4" s="39">
        <v>45000</v>
      </c>
    </row>
    <row r="5" spans="1:7" x14ac:dyDescent="0.3">
      <c r="A5" s="36">
        <v>4</v>
      </c>
      <c r="B5" s="36">
        <v>2</v>
      </c>
      <c r="C5" s="36" t="s">
        <v>1081</v>
      </c>
      <c r="D5" s="36" t="s">
        <v>1082</v>
      </c>
      <c r="E5" s="36" t="s">
        <v>176</v>
      </c>
      <c r="F5" s="37">
        <v>45352</v>
      </c>
      <c r="G5" s="39">
        <v>25000</v>
      </c>
    </row>
    <row r="6" spans="1:7" x14ac:dyDescent="0.3">
      <c r="A6" s="36">
        <v>5</v>
      </c>
      <c r="B6" s="36">
        <v>3</v>
      </c>
      <c r="C6" s="36" t="s">
        <v>1083</v>
      </c>
      <c r="D6" s="36" t="s">
        <v>1084</v>
      </c>
      <c r="E6" s="36" t="s">
        <v>176</v>
      </c>
      <c r="F6" s="37">
        <v>45301</v>
      </c>
      <c r="G6" s="39">
        <v>40000</v>
      </c>
    </row>
    <row r="7" spans="1:7" x14ac:dyDescent="0.3">
      <c r="A7" s="36">
        <v>6</v>
      </c>
      <c r="B7" s="36">
        <v>3</v>
      </c>
      <c r="C7" s="36" t="s">
        <v>1085</v>
      </c>
      <c r="D7" s="36" t="s">
        <v>1086</v>
      </c>
      <c r="E7" s="36" t="s">
        <v>176</v>
      </c>
      <c r="F7" s="37">
        <v>45337</v>
      </c>
      <c r="G7" s="39">
        <v>60000</v>
      </c>
    </row>
    <row r="8" spans="1:7" x14ac:dyDescent="0.3">
      <c r="A8" s="36">
        <v>7</v>
      </c>
      <c r="B8" s="36">
        <v>4</v>
      </c>
      <c r="C8" s="36" t="s">
        <v>1087</v>
      </c>
      <c r="D8" s="36" t="s">
        <v>1088</v>
      </c>
      <c r="E8" s="36" t="s">
        <v>1018</v>
      </c>
      <c r="F8" s="37">
        <v>45356</v>
      </c>
      <c r="G8" s="39">
        <v>0</v>
      </c>
    </row>
    <row r="9" spans="1:7" x14ac:dyDescent="0.3">
      <c r="A9" s="36">
        <v>8</v>
      </c>
      <c r="B9" s="36">
        <v>4</v>
      </c>
      <c r="C9" s="36" t="s">
        <v>1089</v>
      </c>
      <c r="D9" s="36" t="s">
        <v>1090</v>
      </c>
      <c r="E9" s="36" t="s">
        <v>176</v>
      </c>
      <c r="F9" s="37">
        <v>45342</v>
      </c>
      <c r="G9" s="39">
        <v>35000</v>
      </c>
    </row>
    <row r="10" spans="1:7" x14ac:dyDescent="0.3">
      <c r="A10" s="36">
        <v>9</v>
      </c>
      <c r="B10" s="36">
        <v>5</v>
      </c>
      <c r="C10" s="36" t="s">
        <v>1091</v>
      </c>
      <c r="D10" s="36" t="s">
        <v>1092</v>
      </c>
      <c r="E10" s="36" t="s">
        <v>176</v>
      </c>
      <c r="F10" s="37">
        <v>45316</v>
      </c>
      <c r="G10" s="39">
        <v>20000</v>
      </c>
    </row>
    <row r="11" spans="1:7" x14ac:dyDescent="0.3">
      <c r="A11" s="36">
        <v>10</v>
      </c>
      <c r="B11" s="36">
        <v>5</v>
      </c>
      <c r="C11" s="36" t="s">
        <v>1093</v>
      </c>
      <c r="D11" s="36" t="s">
        <v>1094</v>
      </c>
      <c r="E11" s="36" t="s">
        <v>1095</v>
      </c>
      <c r="F11" s="37">
        <v>45261</v>
      </c>
      <c r="G11" s="39">
        <v>0</v>
      </c>
    </row>
    <row r="12" spans="1:7" x14ac:dyDescent="0.3">
      <c r="A12" s="36">
        <v>11</v>
      </c>
      <c r="B12" s="36">
        <v>6</v>
      </c>
      <c r="C12" s="36" t="s">
        <v>1096</v>
      </c>
      <c r="D12" s="36" t="s">
        <v>1097</v>
      </c>
      <c r="E12" s="36" t="s">
        <v>176</v>
      </c>
      <c r="F12" s="37">
        <v>45332</v>
      </c>
      <c r="G12" s="39">
        <v>45000</v>
      </c>
    </row>
    <row r="13" spans="1:7" x14ac:dyDescent="0.3">
      <c r="A13" s="36">
        <v>12</v>
      </c>
      <c r="B13" s="36">
        <v>6</v>
      </c>
      <c r="C13" s="36" t="s">
        <v>1098</v>
      </c>
      <c r="D13" s="36" t="s">
        <v>1099</v>
      </c>
      <c r="E13" s="36" t="s">
        <v>176</v>
      </c>
      <c r="F13" s="37">
        <v>45366</v>
      </c>
      <c r="G13" s="39">
        <v>30000</v>
      </c>
    </row>
    <row r="14" spans="1:7" x14ac:dyDescent="0.3">
      <c r="A14" s="36">
        <v>13</v>
      </c>
      <c r="B14" s="36">
        <v>7</v>
      </c>
      <c r="C14" s="36" t="s">
        <v>1100</v>
      </c>
      <c r="D14" s="36" t="s">
        <v>1101</v>
      </c>
      <c r="E14" s="36" t="s">
        <v>176</v>
      </c>
      <c r="F14" s="37">
        <v>45321</v>
      </c>
      <c r="G14" s="39">
        <v>40000</v>
      </c>
    </row>
    <row r="15" spans="1:7" x14ac:dyDescent="0.3">
      <c r="A15" s="36">
        <v>14</v>
      </c>
      <c r="B15" s="36">
        <v>8</v>
      </c>
      <c r="C15" s="36" t="s">
        <v>1102</v>
      </c>
      <c r="D15" s="36" t="s">
        <v>1103</v>
      </c>
      <c r="E15" s="36" t="s">
        <v>176</v>
      </c>
      <c r="F15" s="37">
        <v>45347</v>
      </c>
      <c r="G15" s="39">
        <v>35000</v>
      </c>
    </row>
    <row r="16" spans="1:7" x14ac:dyDescent="0.3">
      <c r="A16" s="36">
        <v>15</v>
      </c>
      <c r="B16" s="36">
        <v>9</v>
      </c>
      <c r="C16" s="36" t="s">
        <v>1104</v>
      </c>
      <c r="D16" s="36" t="s">
        <v>1105</v>
      </c>
      <c r="E16" s="36" t="s">
        <v>176</v>
      </c>
      <c r="F16" s="37">
        <v>45361</v>
      </c>
      <c r="G16" s="39">
        <v>50000</v>
      </c>
    </row>
    <row r="17" spans="1:7" x14ac:dyDescent="0.3">
      <c r="A17" s="36">
        <v>16</v>
      </c>
      <c r="B17" s="36">
        <v>10</v>
      </c>
      <c r="C17" s="36" t="s">
        <v>1106</v>
      </c>
      <c r="D17" s="36" t="s">
        <v>1107</v>
      </c>
      <c r="E17" s="36" t="s">
        <v>176</v>
      </c>
      <c r="F17" s="37">
        <v>45296</v>
      </c>
      <c r="G17" s="39">
        <v>25000</v>
      </c>
    </row>
    <row r="18" spans="1:7" x14ac:dyDescent="0.3">
      <c r="A18" s="36">
        <v>17</v>
      </c>
      <c r="B18" s="36">
        <v>11</v>
      </c>
      <c r="C18" s="36" t="s">
        <v>1108</v>
      </c>
      <c r="D18" s="36" t="s">
        <v>1109</v>
      </c>
      <c r="E18" s="36" t="s">
        <v>176</v>
      </c>
      <c r="F18" s="37">
        <v>45342</v>
      </c>
      <c r="G18" s="39">
        <v>55000</v>
      </c>
    </row>
    <row r="19" spans="1:7" x14ac:dyDescent="0.3">
      <c r="A19" s="36">
        <v>18</v>
      </c>
      <c r="B19" s="36">
        <v>11</v>
      </c>
      <c r="C19" s="36" t="s">
        <v>1110</v>
      </c>
      <c r="D19" s="36" t="s">
        <v>1111</v>
      </c>
      <c r="E19" s="36" t="s">
        <v>1018</v>
      </c>
      <c r="F19" s="37">
        <v>45371</v>
      </c>
      <c r="G19" s="39">
        <v>0</v>
      </c>
    </row>
    <row r="20" spans="1:7" x14ac:dyDescent="0.3">
      <c r="A20" s="36">
        <v>19</v>
      </c>
      <c r="B20" s="36">
        <v>12</v>
      </c>
      <c r="C20" s="36" t="s">
        <v>1112</v>
      </c>
      <c r="D20" s="36" t="s">
        <v>1113</v>
      </c>
      <c r="E20" s="36" t="s">
        <v>176</v>
      </c>
      <c r="F20" s="37">
        <v>45306</v>
      </c>
      <c r="G20" s="39">
        <v>30000</v>
      </c>
    </row>
    <row r="21" spans="1:7" x14ac:dyDescent="0.3">
      <c r="A21" s="36">
        <v>20</v>
      </c>
      <c r="B21" s="36">
        <v>13</v>
      </c>
      <c r="C21" s="36" t="s">
        <v>1114</v>
      </c>
      <c r="D21" s="36" t="s">
        <v>1115</v>
      </c>
      <c r="E21" s="36" t="s">
        <v>176</v>
      </c>
      <c r="F21" s="37">
        <v>45327</v>
      </c>
      <c r="G21" s="39">
        <v>40000</v>
      </c>
    </row>
    <row r="22" spans="1:7" x14ac:dyDescent="0.3">
      <c r="A22" s="36">
        <v>21</v>
      </c>
      <c r="B22" s="36">
        <v>14</v>
      </c>
      <c r="C22" s="36" t="s">
        <v>1116</v>
      </c>
      <c r="D22" s="36" t="s">
        <v>1117</v>
      </c>
      <c r="E22" s="36" t="s">
        <v>176</v>
      </c>
      <c r="F22" s="37">
        <v>45352</v>
      </c>
      <c r="G22" s="39">
        <v>35000</v>
      </c>
    </row>
    <row r="23" spans="1:7" x14ac:dyDescent="0.3">
      <c r="A23" s="36">
        <v>22</v>
      </c>
      <c r="B23" s="36">
        <v>15</v>
      </c>
      <c r="C23" s="36" t="s">
        <v>1118</v>
      </c>
      <c r="D23" s="36" t="s">
        <v>1119</v>
      </c>
      <c r="E23" s="36" t="s">
        <v>176</v>
      </c>
      <c r="F23" s="37">
        <v>45311</v>
      </c>
      <c r="G23" s="39">
        <v>28000</v>
      </c>
    </row>
    <row r="24" spans="1:7" x14ac:dyDescent="0.3">
      <c r="A24" s="36">
        <v>23</v>
      </c>
      <c r="B24" s="36">
        <v>16</v>
      </c>
      <c r="C24" s="36" t="s">
        <v>1120</v>
      </c>
      <c r="D24" s="36" t="s">
        <v>1121</v>
      </c>
      <c r="E24" s="36" t="s">
        <v>176</v>
      </c>
      <c r="F24" s="37">
        <v>45332</v>
      </c>
      <c r="G24" s="39">
        <v>45000</v>
      </c>
    </row>
    <row r="25" spans="1:7" x14ac:dyDescent="0.3">
      <c r="A25" s="36">
        <v>24</v>
      </c>
      <c r="B25" s="36">
        <v>16</v>
      </c>
      <c r="C25" s="36" t="s">
        <v>1122</v>
      </c>
      <c r="D25" s="36" t="s">
        <v>1123</v>
      </c>
      <c r="E25" s="36" t="s">
        <v>176</v>
      </c>
      <c r="F25" s="37">
        <v>45352</v>
      </c>
      <c r="G25" s="39">
        <v>15000</v>
      </c>
    </row>
    <row r="26" spans="1:7" x14ac:dyDescent="0.3">
      <c r="A26" s="36">
        <v>25</v>
      </c>
      <c r="B26" s="36">
        <v>17</v>
      </c>
      <c r="C26" s="36" t="s">
        <v>1124</v>
      </c>
      <c r="D26" s="36" t="s">
        <v>1125</v>
      </c>
      <c r="E26" s="36" t="s">
        <v>176</v>
      </c>
      <c r="F26" s="37">
        <v>45311</v>
      </c>
      <c r="G26" s="39">
        <v>40000</v>
      </c>
    </row>
    <row r="27" spans="1:7" x14ac:dyDescent="0.3">
      <c r="A27" s="36">
        <v>26</v>
      </c>
      <c r="B27" s="36">
        <v>18</v>
      </c>
      <c r="C27" s="36" t="s">
        <v>1126</v>
      </c>
      <c r="D27" s="36" t="s">
        <v>1127</v>
      </c>
      <c r="E27" s="36" t="s">
        <v>176</v>
      </c>
      <c r="F27" s="37">
        <v>45327</v>
      </c>
      <c r="G27" s="39">
        <v>35000</v>
      </c>
    </row>
    <row r="28" spans="1:7" x14ac:dyDescent="0.3">
      <c r="A28" s="36">
        <v>27</v>
      </c>
      <c r="B28" s="36">
        <v>19</v>
      </c>
      <c r="C28" s="36" t="s">
        <v>1128</v>
      </c>
      <c r="D28" s="36" t="s">
        <v>1129</v>
      </c>
      <c r="E28" s="36" t="s">
        <v>176</v>
      </c>
      <c r="F28" s="37">
        <v>45361</v>
      </c>
      <c r="G28" s="39">
        <v>30000</v>
      </c>
    </row>
    <row r="29" spans="1:7" x14ac:dyDescent="0.3">
      <c r="A29" s="36">
        <v>28</v>
      </c>
      <c r="B29" s="36">
        <v>20</v>
      </c>
      <c r="C29" s="36" t="s">
        <v>1130</v>
      </c>
      <c r="D29" s="36" t="s">
        <v>1131</v>
      </c>
      <c r="E29" s="36" t="s">
        <v>176</v>
      </c>
      <c r="F29" s="37">
        <v>45316</v>
      </c>
      <c r="G29" s="39">
        <v>25000</v>
      </c>
    </row>
    <row r="30" spans="1:7" x14ac:dyDescent="0.3">
      <c r="A30" s="36">
        <v>29</v>
      </c>
      <c r="B30" s="36">
        <v>21</v>
      </c>
      <c r="C30" s="36" t="s">
        <v>1132</v>
      </c>
      <c r="D30" s="36" t="s">
        <v>1133</v>
      </c>
      <c r="E30" s="36" t="s">
        <v>176</v>
      </c>
      <c r="F30" s="37">
        <v>45337</v>
      </c>
      <c r="G30" s="39">
        <v>38000</v>
      </c>
    </row>
    <row r="31" spans="1:7" x14ac:dyDescent="0.3">
      <c r="A31" s="36">
        <v>30</v>
      </c>
      <c r="B31" s="36">
        <v>22</v>
      </c>
      <c r="C31" s="36" t="s">
        <v>1134</v>
      </c>
      <c r="D31" s="36" t="s">
        <v>1135</v>
      </c>
      <c r="E31" s="36" t="s">
        <v>176</v>
      </c>
      <c r="F31" s="37">
        <v>45356</v>
      </c>
      <c r="G31" s="39">
        <v>32000</v>
      </c>
    </row>
    <row r="32" spans="1:7" x14ac:dyDescent="0.3">
      <c r="A32" s="36">
        <v>31</v>
      </c>
      <c r="B32" s="36">
        <v>23</v>
      </c>
      <c r="C32" s="36" t="s">
        <v>1136</v>
      </c>
      <c r="D32" s="36" t="s">
        <v>1137</v>
      </c>
      <c r="E32" s="36" t="s">
        <v>176</v>
      </c>
      <c r="F32" s="37">
        <v>45301</v>
      </c>
      <c r="G32" s="39">
        <v>42000</v>
      </c>
    </row>
    <row r="33" spans="1:7" x14ac:dyDescent="0.3">
      <c r="A33" s="36">
        <v>32</v>
      </c>
      <c r="B33" s="36">
        <v>24</v>
      </c>
      <c r="C33" s="36" t="s">
        <v>1138</v>
      </c>
      <c r="D33" s="36" t="s">
        <v>1139</v>
      </c>
      <c r="E33" s="36" t="s">
        <v>176</v>
      </c>
      <c r="F33" s="37">
        <v>45342</v>
      </c>
      <c r="G33" s="39">
        <v>28000</v>
      </c>
    </row>
    <row r="34" spans="1:7" x14ac:dyDescent="0.3">
      <c r="A34" s="36">
        <v>33</v>
      </c>
      <c r="B34" s="36">
        <v>25</v>
      </c>
      <c r="C34" s="36" t="s">
        <v>1140</v>
      </c>
      <c r="D34" s="36" t="s">
        <v>1141</v>
      </c>
      <c r="E34" s="36" t="s">
        <v>176</v>
      </c>
      <c r="F34" s="37">
        <v>45306</v>
      </c>
      <c r="G34" s="39">
        <v>60000</v>
      </c>
    </row>
    <row r="35" spans="1:7" x14ac:dyDescent="0.3">
      <c r="A35" s="36">
        <v>34</v>
      </c>
      <c r="B35" s="36">
        <v>26</v>
      </c>
      <c r="C35" s="36" t="s">
        <v>1142</v>
      </c>
      <c r="D35" s="36" t="s">
        <v>1143</v>
      </c>
      <c r="E35" s="36" t="s">
        <v>176</v>
      </c>
      <c r="F35" s="37">
        <v>45352</v>
      </c>
      <c r="G35" s="39">
        <v>33000</v>
      </c>
    </row>
    <row r="36" spans="1:7" x14ac:dyDescent="0.3">
      <c r="A36" s="36">
        <v>35</v>
      </c>
      <c r="B36" s="36">
        <v>27</v>
      </c>
      <c r="C36" s="36" t="s">
        <v>1144</v>
      </c>
      <c r="D36" s="36" t="s">
        <v>1145</v>
      </c>
      <c r="E36" s="36" t="s">
        <v>176</v>
      </c>
      <c r="F36" s="37">
        <v>45332</v>
      </c>
      <c r="G36" s="39">
        <v>37000</v>
      </c>
    </row>
    <row r="37" spans="1:7" x14ac:dyDescent="0.3">
      <c r="A37" s="36">
        <v>36</v>
      </c>
      <c r="B37" s="36">
        <v>28</v>
      </c>
      <c r="C37" s="36" t="s">
        <v>1146</v>
      </c>
      <c r="D37" s="36" t="s">
        <v>1147</v>
      </c>
      <c r="E37" s="36" t="s">
        <v>176</v>
      </c>
      <c r="F37" s="37">
        <v>45321</v>
      </c>
      <c r="G37" s="39">
        <v>41000</v>
      </c>
    </row>
    <row r="38" spans="1:7" x14ac:dyDescent="0.3">
      <c r="A38" s="36">
        <v>37</v>
      </c>
      <c r="B38" s="36">
        <v>29</v>
      </c>
      <c r="C38" s="36" t="s">
        <v>1148</v>
      </c>
      <c r="D38" s="36" t="s">
        <v>1149</v>
      </c>
      <c r="E38" s="36" t="s">
        <v>176</v>
      </c>
      <c r="F38" s="37">
        <v>45347</v>
      </c>
      <c r="G38" s="39">
        <v>29000</v>
      </c>
    </row>
    <row r="39" spans="1:7" x14ac:dyDescent="0.3">
      <c r="A39" s="36">
        <v>38</v>
      </c>
      <c r="B39" s="36">
        <v>30</v>
      </c>
      <c r="C39" s="36" t="s">
        <v>1150</v>
      </c>
      <c r="D39" s="36" t="s">
        <v>1151</v>
      </c>
      <c r="E39" s="36" t="s">
        <v>176</v>
      </c>
      <c r="F39" s="37">
        <v>45311</v>
      </c>
      <c r="G39" s="39">
        <v>75000</v>
      </c>
    </row>
    <row r="40" spans="1:7" x14ac:dyDescent="0.3">
      <c r="A40" s="36">
        <v>39</v>
      </c>
      <c r="B40" s="36">
        <v>30</v>
      </c>
      <c r="C40" s="36" t="s">
        <v>1152</v>
      </c>
      <c r="D40" s="36" t="s">
        <v>1153</v>
      </c>
      <c r="E40" s="36" t="s">
        <v>176</v>
      </c>
      <c r="F40" s="37">
        <v>45337</v>
      </c>
      <c r="G40" s="39">
        <v>50000</v>
      </c>
    </row>
    <row r="41" spans="1:7" x14ac:dyDescent="0.3">
      <c r="A41" s="36">
        <v>40</v>
      </c>
      <c r="B41" s="36">
        <v>31</v>
      </c>
      <c r="C41" s="36" t="s">
        <v>1154</v>
      </c>
      <c r="D41" s="36" t="s">
        <v>1155</v>
      </c>
      <c r="E41" s="36" t="s">
        <v>176</v>
      </c>
      <c r="F41" s="37">
        <v>45306</v>
      </c>
      <c r="G41" s="39">
        <v>35000</v>
      </c>
    </row>
    <row r="42" spans="1:7" x14ac:dyDescent="0.3">
      <c r="A42" s="36">
        <v>41</v>
      </c>
      <c r="B42" s="36">
        <v>32</v>
      </c>
      <c r="C42" s="36" t="s">
        <v>1156</v>
      </c>
      <c r="D42" s="36" t="s">
        <v>1157</v>
      </c>
      <c r="E42" s="36" t="s">
        <v>176</v>
      </c>
      <c r="F42" s="37">
        <v>45361</v>
      </c>
      <c r="G42" s="39">
        <v>40000</v>
      </c>
    </row>
    <row r="43" spans="1:7" x14ac:dyDescent="0.3">
      <c r="A43" s="36">
        <v>42</v>
      </c>
      <c r="B43" s="36">
        <v>33</v>
      </c>
      <c r="C43" s="36" t="s">
        <v>1158</v>
      </c>
      <c r="D43" s="36" t="s">
        <v>1159</v>
      </c>
      <c r="E43" s="36" t="s">
        <v>176</v>
      </c>
      <c r="F43" s="37">
        <v>45327</v>
      </c>
      <c r="G43" s="39">
        <v>38000</v>
      </c>
    </row>
    <row r="44" spans="1:7" x14ac:dyDescent="0.3">
      <c r="A44" s="36">
        <v>43</v>
      </c>
      <c r="B44" s="36">
        <v>34</v>
      </c>
      <c r="C44" s="36" t="s">
        <v>1160</v>
      </c>
      <c r="D44" s="36" t="s">
        <v>1161</v>
      </c>
      <c r="E44" s="36" t="s">
        <v>1018</v>
      </c>
      <c r="F44" s="37">
        <v>45301</v>
      </c>
      <c r="G44" s="39">
        <v>0</v>
      </c>
    </row>
    <row r="45" spans="1:7" x14ac:dyDescent="0.3">
      <c r="A45" s="36">
        <v>44</v>
      </c>
      <c r="B45" s="36">
        <v>35</v>
      </c>
      <c r="C45" s="36" t="s">
        <v>1162</v>
      </c>
      <c r="D45" s="36" t="s">
        <v>1163</v>
      </c>
      <c r="E45" s="36" t="s">
        <v>176</v>
      </c>
      <c r="F45" s="37">
        <v>45342</v>
      </c>
      <c r="G45" s="39">
        <v>32000</v>
      </c>
    </row>
    <row r="46" spans="1:7" x14ac:dyDescent="0.3">
      <c r="A46" s="36">
        <v>45</v>
      </c>
      <c r="B46" s="36">
        <v>36</v>
      </c>
      <c r="C46" s="36" t="s">
        <v>1164</v>
      </c>
      <c r="D46" s="36" t="s">
        <v>1165</v>
      </c>
      <c r="E46" s="36" t="s">
        <v>176</v>
      </c>
      <c r="F46" s="37">
        <v>45356</v>
      </c>
      <c r="G46" s="39">
        <v>27000</v>
      </c>
    </row>
    <row r="47" spans="1:7" x14ac:dyDescent="0.3">
      <c r="A47" s="36">
        <v>46</v>
      </c>
      <c r="B47" s="36">
        <v>37</v>
      </c>
      <c r="C47" s="36" t="s">
        <v>1166</v>
      </c>
      <c r="D47" s="36" t="s">
        <v>1167</v>
      </c>
      <c r="E47" s="36" t="s">
        <v>176</v>
      </c>
      <c r="F47" s="37">
        <v>45316</v>
      </c>
      <c r="G47" s="39">
        <v>36000</v>
      </c>
    </row>
    <row r="48" spans="1:7" x14ac:dyDescent="0.3">
      <c r="A48" s="36">
        <v>47</v>
      </c>
      <c r="B48" s="36">
        <v>38</v>
      </c>
      <c r="C48" s="36" t="s">
        <v>1168</v>
      </c>
      <c r="D48" s="36" t="s">
        <v>1169</v>
      </c>
      <c r="E48" s="36" t="s">
        <v>176</v>
      </c>
      <c r="F48" s="37">
        <v>45332</v>
      </c>
      <c r="G48" s="39">
        <v>31000</v>
      </c>
    </row>
    <row r="49" spans="1:7" x14ac:dyDescent="0.3">
      <c r="A49" s="36">
        <v>48</v>
      </c>
      <c r="B49" s="36">
        <v>39</v>
      </c>
      <c r="C49" s="36" t="s">
        <v>1170</v>
      </c>
      <c r="D49" s="36" t="s">
        <v>1171</v>
      </c>
      <c r="E49" s="36" t="s">
        <v>176</v>
      </c>
      <c r="F49" s="37">
        <v>45366</v>
      </c>
      <c r="G49" s="39">
        <v>33000</v>
      </c>
    </row>
    <row r="50" spans="1:7" x14ac:dyDescent="0.3">
      <c r="A50" s="36">
        <v>49</v>
      </c>
      <c r="B50" s="36">
        <v>40</v>
      </c>
      <c r="C50" s="36" t="s">
        <v>1172</v>
      </c>
      <c r="D50" s="36" t="s">
        <v>1173</v>
      </c>
      <c r="E50" s="36" t="s">
        <v>176</v>
      </c>
      <c r="F50" s="37">
        <v>45311</v>
      </c>
      <c r="G50" s="39">
        <v>29000</v>
      </c>
    </row>
    <row r="51" spans="1:7" x14ac:dyDescent="0.3">
      <c r="A51" s="36">
        <v>50</v>
      </c>
      <c r="B51" s="36">
        <v>41</v>
      </c>
      <c r="C51" s="36" t="s">
        <v>1174</v>
      </c>
      <c r="D51" s="36" t="s">
        <v>1175</v>
      </c>
      <c r="E51" s="36" t="s">
        <v>176</v>
      </c>
      <c r="F51" s="37">
        <v>45347</v>
      </c>
      <c r="G51" s="39">
        <v>28000</v>
      </c>
    </row>
    <row r="52" spans="1:7" x14ac:dyDescent="0.3">
      <c r="A52" s="36">
        <v>51</v>
      </c>
      <c r="B52" s="36">
        <v>42</v>
      </c>
      <c r="C52" s="36" t="s">
        <v>1176</v>
      </c>
      <c r="D52" s="36" t="s">
        <v>1177</v>
      </c>
      <c r="E52" s="36" t="s">
        <v>176</v>
      </c>
      <c r="F52" s="37">
        <v>45361</v>
      </c>
      <c r="G52" s="39">
        <v>34000</v>
      </c>
    </row>
    <row r="53" spans="1:7" x14ac:dyDescent="0.3">
      <c r="A53" s="36">
        <v>52</v>
      </c>
      <c r="B53" s="36">
        <v>43</v>
      </c>
      <c r="C53" s="36" t="s">
        <v>1178</v>
      </c>
      <c r="D53" s="36" t="s">
        <v>1179</v>
      </c>
      <c r="E53" s="36" t="s">
        <v>1095</v>
      </c>
      <c r="F53" s="37">
        <v>45245</v>
      </c>
      <c r="G53" s="39">
        <v>0</v>
      </c>
    </row>
    <row r="54" spans="1:7" x14ac:dyDescent="0.3">
      <c r="A54" s="36">
        <v>53</v>
      </c>
      <c r="B54" s="36">
        <v>44</v>
      </c>
      <c r="C54" s="36" t="s">
        <v>1180</v>
      </c>
      <c r="D54" s="36" t="s">
        <v>1181</v>
      </c>
      <c r="E54" s="36" t="s">
        <v>176</v>
      </c>
      <c r="F54" s="37">
        <v>45306</v>
      </c>
      <c r="G54" s="39">
        <v>26000</v>
      </c>
    </row>
    <row r="55" spans="1:7" x14ac:dyDescent="0.3">
      <c r="A55" s="36">
        <v>54</v>
      </c>
      <c r="B55" s="36">
        <v>45</v>
      </c>
      <c r="C55" s="36" t="s">
        <v>1182</v>
      </c>
      <c r="D55" s="36" t="s">
        <v>1183</v>
      </c>
      <c r="E55" s="36" t="s">
        <v>176</v>
      </c>
      <c r="F55" s="37">
        <v>45342</v>
      </c>
      <c r="G55" s="39">
        <v>30000</v>
      </c>
    </row>
    <row r="56" spans="1:7" x14ac:dyDescent="0.3">
      <c r="A56" s="36">
        <v>55</v>
      </c>
      <c r="B56" s="36">
        <v>46</v>
      </c>
      <c r="C56" s="36" t="s">
        <v>1184</v>
      </c>
      <c r="D56" s="36" t="s">
        <v>1185</v>
      </c>
      <c r="E56" s="36" t="s">
        <v>176</v>
      </c>
      <c r="F56" s="37">
        <v>45352</v>
      </c>
      <c r="G56" s="39">
        <v>32000</v>
      </c>
    </row>
    <row r="57" spans="1:7" x14ac:dyDescent="0.3">
      <c r="A57" s="36">
        <v>56</v>
      </c>
      <c r="B57" s="36">
        <v>47</v>
      </c>
      <c r="C57" s="36" t="s">
        <v>1186</v>
      </c>
      <c r="D57" s="36" t="s">
        <v>1187</v>
      </c>
      <c r="E57" s="36" t="s">
        <v>176</v>
      </c>
      <c r="F57" s="37">
        <v>45301</v>
      </c>
      <c r="G57" s="39">
        <v>35000</v>
      </c>
    </row>
    <row r="58" spans="1:7" x14ac:dyDescent="0.3">
      <c r="A58" s="36">
        <v>57</v>
      </c>
      <c r="B58" s="36">
        <v>48</v>
      </c>
      <c r="C58" s="36" t="s">
        <v>1188</v>
      </c>
      <c r="D58" s="36" t="s">
        <v>1189</v>
      </c>
      <c r="E58" s="36" t="s">
        <v>176</v>
      </c>
      <c r="F58" s="37">
        <v>45337</v>
      </c>
      <c r="G58" s="39">
        <v>45000</v>
      </c>
    </row>
    <row r="59" spans="1:7" x14ac:dyDescent="0.3">
      <c r="A59" s="36">
        <v>58</v>
      </c>
      <c r="B59" s="36">
        <v>49</v>
      </c>
      <c r="C59" s="36" t="s">
        <v>1190</v>
      </c>
      <c r="D59" s="36" t="s">
        <v>1191</v>
      </c>
      <c r="E59" s="36" t="s">
        <v>176</v>
      </c>
      <c r="F59" s="37">
        <v>45356</v>
      </c>
      <c r="G59" s="39">
        <v>38000</v>
      </c>
    </row>
    <row r="60" spans="1:7" x14ac:dyDescent="0.3">
      <c r="A60" s="36">
        <v>59</v>
      </c>
      <c r="B60" s="36">
        <v>50</v>
      </c>
      <c r="C60" s="36" t="s">
        <v>1192</v>
      </c>
      <c r="D60" s="36" t="s">
        <v>1193</v>
      </c>
      <c r="E60" s="36" t="s">
        <v>176</v>
      </c>
      <c r="F60" s="37">
        <v>45316</v>
      </c>
      <c r="G60" s="39">
        <v>33000</v>
      </c>
    </row>
    <row r="61" spans="1:7" x14ac:dyDescent="0.3">
      <c r="A61" s="36">
        <v>60</v>
      </c>
      <c r="B61" s="36">
        <v>51</v>
      </c>
      <c r="C61" s="36" t="s">
        <v>1194</v>
      </c>
      <c r="D61" s="36" t="s">
        <v>1195</v>
      </c>
      <c r="E61" s="36" t="s">
        <v>176</v>
      </c>
      <c r="F61" s="37">
        <v>45332</v>
      </c>
      <c r="G61" s="39">
        <v>27000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12" customWidth="1"/>
    <col min="3" max="4" width="11" customWidth="1"/>
    <col min="5" max="5" width="12" customWidth="1"/>
    <col min="6" max="6" width="13" customWidth="1"/>
    <col min="7" max="7" width="22" customWidth="1"/>
    <col min="8" max="8" width="26" customWidth="1"/>
  </cols>
  <sheetData>
    <row r="1" spans="1:8" ht="24" customHeight="1" x14ac:dyDescent="0.3">
      <c r="A1" s="23" t="s">
        <v>317</v>
      </c>
      <c r="B1" s="23" t="s">
        <v>1196</v>
      </c>
      <c r="C1" s="23" t="s">
        <v>1197</v>
      </c>
      <c r="D1" s="23" t="s">
        <v>1198</v>
      </c>
      <c r="E1" s="23" t="s">
        <v>1199</v>
      </c>
      <c r="F1" s="23" t="s">
        <v>1200</v>
      </c>
      <c r="G1" s="23" t="s">
        <v>1201</v>
      </c>
      <c r="H1" s="23" t="s">
        <v>1202</v>
      </c>
    </row>
    <row r="2" spans="1:8" x14ac:dyDescent="0.3">
      <c r="A2" s="36">
        <v>1</v>
      </c>
      <c r="B2" s="36" t="s">
        <v>295</v>
      </c>
      <c r="C2" s="36" t="s">
        <v>1203</v>
      </c>
      <c r="D2" s="36">
        <v>113</v>
      </c>
      <c r="E2" s="36" t="s">
        <v>1204</v>
      </c>
      <c r="F2" s="37">
        <v>45078</v>
      </c>
      <c r="G2" s="36" t="s">
        <v>1205</v>
      </c>
      <c r="H2" s="36" t="s">
        <v>1206</v>
      </c>
    </row>
    <row r="3" spans="1:8" x14ac:dyDescent="0.3">
      <c r="A3" s="36">
        <v>2</v>
      </c>
      <c r="B3" s="36" t="s">
        <v>293</v>
      </c>
      <c r="C3" s="36" t="s">
        <v>1203</v>
      </c>
      <c r="D3" s="36">
        <v>3</v>
      </c>
      <c r="E3" s="36" t="s">
        <v>1207</v>
      </c>
      <c r="F3" s="37">
        <v>45296</v>
      </c>
      <c r="G3" s="36" t="s">
        <v>1208</v>
      </c>
      <c r="H3" s="36" t="s">
        <v>1208</v>
      </c>
    </row>
    <row r="4" spans="1:8" x14ac:dyDescent="0.3">
      <c r="A4" s="36">
        <v>3</v>
      </c>
      <c r="B4" s="36" t="s">
        <v>298</v>
      </c>
      <c r="C4" s="36" t="s">
        <v>1203</v>
      </c>
      <c r="D4" s="36">
        <v>206</v>
      </c>
      <c r="E4" s="36" t="s">
        <v>1209</v>
      </c>
      <c r="F4" s="37">
        <v>45626</v>
      </c>
      <c r="G4" s="36" t="s">
        <v>1205</v>
      </c>
      <c r="H4" s="36" t="s">
        <v>1210</v>
      </c>
    </row>
    <row r="5" spans="1:8" x14ac:dyDescent="0.3">
      <c r="A5" s="36">
        <v>4</v>
      </c>
      <c r="B5" s="36" t="s">
        <v>295</v>
      </c>
      <c r="C5" s="36" t="s">
        <v>1203</v>
      </c>
      <c r="D5" s="36">
        <v>106</v>
      </c>
      <c r="E5" s="36" t="s">
        <v>1209</v>
      </c>
      <c r="F5" s="37">
        <v>45316</v>
      </c>
      <c r="G5" s="36" t="s">
        <v>1211</v>
      </c>
      <c r="H5" s="36" t="s">
        <v>1212</v>
      </c>
    </row>
    <row r="6" spans="1:8" x14ac:dyDescent="0.3">
      <c r="A6" s="36">
        <v>5</v>
      </c>
      <c r="B6" s="36" t="s">
        <v>300</v>
      </c>
      <c r="C6" s="36" t="s">
        <v>1203</v>
      </c>
      <c r="D6" s="36">
        <v>307</v>
      </c>
      <c r="E6" s="36" t="s">
        <v>1204</v>
      </c>
      <c r="F6" s="37">
        <v>45306</v>
      </c>
      <c r="G6" s="36" t="s">
        <v>1213</v>
      </c>
      <c r="H6" s="36" t="s">
        <v>1214</v>
      </c>
    </row>
    <row r="7" spans="1:8" x14ac:dyDescent="0.3">
      <c r="A7" s="36">
        <v>6</v>
      </c>
      <c r="B7" s="36" t="s">
        <v>293</v>
      </c>
      <c r="C7" s="36" t="s">
        <v>1215</v>
      </c>
      <c r="D7" s="36">
        <v>50</v>
      </c>
      <c r="E7" s="36" t="s">
        <v>1216</v>
      </c>
      <c r="F7" s="37">
        <v>44261</v>
      </c>
      <c r="G7" s="36"/>
      <c r="H7" s="36" t="s">
        <v>1217</v>
      </c>
    </row>
    <row r="8" spans="1:8" x14ac:dyDescent="0.3">
      <c r="A8" s="36">
        <v>7</v>
      </c>
      <c r="B8" s="36" t="s">
        <v>295</v>
      </c>
      <c r="C8" s="36" t="s">
        <v>1215</v>
      </c>
      <c r="D8" s="36">
        <v>167</v>
      </c>
      <c r="E8" s="36" t="s">
        <v>1216</v>
      </c>
      <c r="F8" s="37">
        <v>44287</v>
      </c>
      <c r="G8" s="36"/>
      <c r="H8" s="36" t="s">
        <v>1218</v>
      </c>
    </row>
    <row r="9" spans="1:8" x14ac:dyDescent="0.3">
      <c r="A9" s="36">
        <v>8</v>
      </c>
      <c r="B9" s="36" t="s">
        <v>298</v>
      </c>
      <c r="C9" s="36" t="s">
        <v>1203</v>
      </c>
      <c r="D9" s="36">
        <v>215</v>
      </c>
      <c r="E9" s="36" t="s">
        <v>1209</v>
      </c>
      <c r="F9" s="37">
        <v>45047</v>
      </c>
      <c r="G9" s="36" t="s">
        <v>1205</v>
      </c>
      <c r="H9" s="36" t="s">
        <v>1210</v>
      </c>
    </row>
    <row r="10" spans="1:8" x14ac:dyDescent="0.3">
      <c r="A10" s="36">
        <v>9</v>
      </c>
      <c r="B10" s="36" t="s">
        <v>300</v>
      </c>
      <c r="C10" s="36" t="s">
        <v>1203</v>
      </c>
      <c r="D10" s="36">
        <v>310</v>
      </c>
      <c r="E10" s="36" t="s">
        <v>1204</v>
      </c>
      <c r="F10" s="37">
        <v>45323</v>
      </c>
      <c r="G10" s="36" t="s">
        <v>1219</v>
      </c>
      <c r="H10" s="36" t="s">
        <v>1213</v>
      </c>
    </row>
    <row r="11" spans="1:8" x14ac:dyDescent="0.3">
      <c r="A11" s="36">
        <v>10</v>
      </c>
      <c r="B11" s="36" t="s">
        <v>295</v>
      </c>
      <c r="C11" s="36" t="s">
        <v>1203</v>
      </c>
      <c r="D11" s="36">
        <v>110</v>
      </c>
      <c r="E11" s="36" t="s">
        <v>1209</v>
      </c>
      <c r="F11" s="37">
        <v>45334</v>
      </c>
      <c r="G11" s="36" t="s">
        <v>1220</v>
      </c>
      <c r="H11" s="36" t="s">
        <v>1221</v>
      </c>
    </row>
    <row r="12" spans="1:8" x14ac:dyDescent="0.3">
      <c r="A12" s="36">
        <v>11</v>
      </c>
      <c r="B12" s="36" t="s">
        <v>293</v>
      </c>
      <c r="C12" s="36" t="s">
        <v>1203</v>
      </c>
      <c r="D12" s="36">
        <v>16</v>
      </c>
      <c r="E12" s="36" t="s">
        <v>1222</v>
      </c>
      <c r="F12" s="37">
        <v>45301</v>
      </c>
      <c r="G12" s="36" t="s">
        <v>1223</v>
      </c>
      <c r="H12" s="36" t="s">
        <v>1224</v>
      </c>
    </row>
    <row r="13" spans="1:8" x14ac:dyDescent="0.3">
      <c r="A13" s="36">
        <v>12</v>
      </c>
      <c r="B13" s="36" t="s">
        <v>298</v>
      </c>
      <c r="C13" s="36" t="s">
        <v>1203</v>
      </c>
      <c r="D13" s="36">
        <v>218</v>
      </c>
      <c r="E13" s="36" t="s">
        <v>1209</v>
      </c>
      <c r="F13" s="37">
        <v>45444</v>
      </c>
      <c r="G13" s="36" t="s">
        <v>1205</v>
      </c>
      <c r="H13" s="36" t="s">
        <v>1210</v>
      </c>
    </row>
    <row r="14" spans="1:8" x14ac:dyDescent="0.3">
      <c r="A14" s="36">
        <v>13</v>
      </c>
      <c r="B14" s="36" t="s">
        <v>302</v>
      </c>
      <c r="C14" s="36" t="s">
        <v>1203</v>
      </c>
      <c r="D14" s="36">
        <v>9</v>
      </c>
      <c r="E14" s="36" t="s">
        <v>1209</v>
      </c>
      <c r="F14" s="37">
        <v>45627</v>
      </c>
      <c r="G14" s="36" t="s">
        <v>1205</v>
      </c>
      <c r="H14" s="36" t="s">
        <v>1225</v>
      </c>
    </row>
    <row r="15" spans="1:8" x14ac:dyDescent="0.3">
      <c r="A15" s="36">
        <v>14</v>
      </c>
      <c r="B15" s="36" t="s">
        <v>295</v>
      </c>
      <c r="C15" s="36" t="s">
        <v>1203</v>
      </c>
      <c r="D15" s="36">
        <v>137</v>
      </c>
      <c r="E15" s="36" t="s">
        <v>1209</v>
      </c>
      <c r="F15" s="37">
        <v>45412</v>
      </c>
      <c r="G15" s="36" t="s">
        <v>1226</v>
      </c>
      <c r="H15" s="36" t="s">
        <v>1227</v>
      </c>
    </row>
    <row r="16" spans="1:8" x14ac:dyDescent="0.3">
      <c r="A16" s="36">
        <v>15</v>
      </c>
      <c r="B16" s="36" t="s">
        <v>300</v>
      </c>
      <c r="C16" s="36" t="s">
        <v>1215</v>
      </c>
      <c r="D16" s="36">
        <v>325</v>
      </c>
      <c r="E16" s="36" t="s">
        <v>1204</v>
      </c>
      <c r="F16" s="37">
        <v>44075</v>
      </c>
      <c r="G16" s="36"/>
      <c r="H16" s="36" t="s">
        <v>1228</v>
      </c>
    </row>
    <row r="17" spans="1:8" x14ac:dyDescent="0.3">
      <c r="A17" s="36">
        <v>16</v>
      </c>
      <c r="B17" s="36" t="s">
        <v>298</v>
      </c>
      <c r="C17" s="36" t="s">
        <v>1203</v>
      </c>
      <c r="D17" s="36">
        <v>221</v>
      </c>
      <c r="E17" s="36" t="s">
        <v>1209</v>
      </c>
      <c r="F17" s="37">
        <v>45352</v>
      </c>
      <c r="G17" s="36" t="s">
        <v>1205</v>
      </c>
      <c r="H17" s="36" t="s">
        <v>1210</v>
      </c>
    </row>
    <row r="18" spans="1:8" x14ac:dyDescent="0.3">
      <c r="A18" s="36">
        <v>17</v>
      </c>
      <c r="B18" s="36" t="s">
        <v>293</v>
      </c>
      <c r="C18" s="36" t="s">
        <v>1203</v>
      </c>
      <c r="D18" s="36">
        <v>1</v>
      </c>
      <c r="E18" s="36" t="s">
        <v>1229</v>
      </c>
      <c r="F18" s="37">
        <v>45366</v>
      </c>
      <c r="G18" s="36" t="s">
        <v>1230</v>
      </c>
      <c r="H18" s="36" t="s">
        <v>1230</v>
      </c>
    </row>
    <row r="19" spans="1:8" x14ac:dyDescent="0.3">
      <c r="A19" s="36">
        <v>18</v>
      </c>
      <c r="B19" s="36" t="s">
        <v>302</v>
      </c>
      <c r="C19" s="36" t="s">
        <v>1203</v>
      </c>
      <c r="D19" s="36">
        <v>17</v>
      </c>
      <c r="E19" s="36" t="s">
        <v>1209</v>
      </c>
      <c r="F19" s="37">
        <v>45606</v>
      </c>
      <c r="G19" s="36" t="s">
        <v>1205</v>
      </c>
      <c r="H19" s="36" t="s">
        <v>1225</v>
      </c>
    </row>
    <row r="20" spans="1:8" x14ac:dyDescent="0.3">
      <c r="A20" s="36">
        <v>19</v>
      </c>
      <c r="B20" s="36" t="s">
        <v>295</v>
      </c>
      <c r="C20" s="36" t="s">
        <v>1203</v>
      </c>
      <c r="D20" s="36">
        <v>149</v>
      </c>
      <c r="E20" s="36" t="s">
        <v>1209</v>
      </c>
      <c r="F20" s="37">
        <v>45455</v>
      </c>
      <c r="G20" s="36" t="s">
        <v>1231</v>
      </c>
      <c r="H20" s="36" t="s">
        <v>1232</v>
      </c>
    </row>
    <row r="21" spans="1:8" x14ac:dyDescent="0.3">
      <c r="A21" s="36">
        <v>20</v>
      </c>
      <c r="B21" s="36" t="s">
        <v>298</v>
      </c>
      <c r="C21" s="36" t="s">
        <v>1203</v>
      </c>
      <c r="D21" s="36">
        <v>227</v>
      </c>
      <c r="E21" s="36" t="s">
        <v>1209</v>
      </c>
      <c r="F21" s="37">
        <v>45139</v>
      </c>
      <c r="G21" s="36" t="s">
        <v>1205</v>
      </c>
      <c r="H21" s="36" t="s">
        <v>1210</v>
      </c>
    </row>
    <row r="22" spans="1:8" x14ac:dyDescent="0.3">
      <c r="A22" s="36">
        <v>21</v>
      </c>
      <c r="B22" s="36" t="s">
        <v>298</v>
      </c>
      <c r="C22" s="36" t="s">
        <v>1203</v>
      </c>
      <c r="D22" s="36">
        <v>230</v>
      </c>
      <c r="E22" s="36" t="s">
        <v>1209</v>
      </c>
      <c r="F22" s="37">
        <v>45017</v>
      </c>
      <c r="G22" s="36" t="s">
        <v>1205</v>
      </c>
      <c r="H22" s="36" t="s">
        <v>1210</v>
      </c>
    </row>
    <row r="23" spans="1:8" x14ac:dyDescent="0.3">
      <c r="A23" s="36">
        <v>22</v>
      </c>
      <c r="B23" s="36" t="s">
        <v>295</v>
      </c>
      <c r="C23" s="36" t="s">
        <v>1203</v>
      </c>
      <c r="D23" s="36">
        <v>122</v>
      </c>
      <c r="E23" s="36" t="s">
        <v>1222</v>
      </c>
      <c r="F23" s="37">
        <v>45301</v>
      </c>
      <c r="G23" s="36" t="s">
        <v>1233</v>
      </c>
      <c r="H23" s="36" t="s">
        <v>1233</v>
      </c>
    </row>
    <row r="24" spans="1:8" x14ac:dyDescent="0.3">
      <c r="A24" s="36">
        <v>23</v>
      </c>
      <c r="B24" s="36" t="s">
        <v>293</v>
      </c>
      <c r="C24" s="36" t="s">
        <v>1215</v>
      </c>
      <c r="D24" s="36">
        <v>51</v>
      </c>
      <c r="E24" s="36" t="s">
        <v>1234</v>
      </c>
      <c r="F24" s="37">
        <v>44331</v>
      </c>
      <c r="G24" s="36"/>
      <c r="H24" s="36" t="s">
        <v>1235</v>
      </c>
    </row>
    <row r="25" spans="1:8" x14ac:dyDescent="0.3">
      <c r="A25" s="36">
        <v>24</v>
      </c>
      <c r="B25" s="36" t="s">
        <v>300</v>
      </c>
      <c r="C25" s="36" t="s">
        <v>1203</v>
      </c>
      <c r="D25" s="36">
        <v>322</v>
      </c>
      <c r="E25" s="36" t="s">
        <v>1204</v>
      </c>
      <c r="F25" s="37">
        <v>45311</v>
      </c>
      <c r="G25" s="36" t="s">
        <v>1236</v>
      </c>
      <c r="H25" s="36" t="s">
        <v>1237</v>
      </c>
    </row>
    <row r="26" spans="1:8" x14ac:dyDescent="0.3">
      <c r="A26" s="36">
        <v>25</v>
      </c>
      <c r="B26" s="36" t="s">
        <v>298</v>
      </c>
      <c r="C26" s="36" t="s">
        <v>1203</v>
      </c>
      <c r="D26" s="36">
        <v>235</v>
      </c>
      <c r="E26" s="36" t="s">
        <v>1209</v>
      </c>
      <c r="F26" s="37">
        <v>45170</v>
      </c>
      <c r="G26" s="36" t="s">
        <v>1205</v>
      </c>
      <c r="H26" s="36" t="s">
        <v>1210</v>
      </c>
    </row>
    <row r="27" spans="1:8" x14ac:dyDescent="0.3">
      <c r="A27" s="36">
        <v>26</v>
      </c>
      <c r="B27" s="36" t="s">
        <v>302</v>
      </c>
      <c r="C27" s="36" t="s">
        <v>1203</v>
      </c>
      <c r="D27" s="36">
        <v>39</v>
      </c>
      <c r="E27" s="36" t="s">
        <v>1209</v>
      </c>
      <c r="F27" s="37">
        <v>45383</v>
      </c>
      <c r="G27" s="36" t="s">
        <v>1205</v>
      </c>
      <c r="H27" s="36" t="s">
        <v>1225</v>
      </c>
    </row>
    <row r="28" spans="1:8" x14ac:dyDescent="0.3">
      <c r="A28" s="36">
        <v>27</v>
      </c>
      <c r="B28" s="36" t="s">
        <v>295</v>
      </c>
      <c r="C28" s="36" t="s">
        <v>1203</v>
      </c>
      <c r="D28" s="36">
        <v>165</v>
      </c>
      <c r="E28" s="36" t="s">
        <v>1209</v>
      </c>
      <c r="F28" s="37">
        <v>45476</v>
      </c>
      <c r="G28" s="36" t="s">
        <v>1238</v>
      </c>
      <c r="H28" s="36" t="s">
        <v>1239</v>
      </c>
    </row>
    <row r="29" spans="1:8" x14ac:dyDescent="0.3">
      <c r="A29" s="36">
        <v>28</v>
      </c>
      <c r="B29" s="36" t="s">
        <v>293</v>
      </c>
      <c r="C29" s="36" t="s">
        <v>1203</v>
      </c>
      <c r="D29" s="36">
        <v>22</v>
      </c>
      <c r="E29" s="36" t="s">
        <v>1240</v>
      </c>
      <c r="F29" s="37">
        <v>45337</v>
      </c>
      <c r="G29" s="36" t="s">
        <v>1241</v>
      </c>
      <c r="H29" s="36" t="s">
        <v>1241</v>
      </c>
    </row>
    <row r="30" spans="1:8" x14ac:dyDescent="0.3">
      <c r="A30" s="36">
        <v>29</v>
      </c>
      <c r="B30" s="36" t="s">
        <v>298</v>
      </c>
      <c r="C30" s="36" t="s">
        <v>1203</v>
      </c>
      <c r="D30" s="36">
        <v>246</v>
      </c>
      <c r="E30" s="36" t="s">
        <v>1209</v>
      </c>
      <c r="F30" s="37">
        <v>44986</v>
      </c>
      <c r="G30" s="36" t="s">
        <v>1205</v>
      </c>
      <c r="H30" s="36" t="s">
        <v>1210</v>
      </c>
    </row>
    <row r="31" spans="1:8" x14ac:dyDescent="0.3">
      <c r="A31" s="36">
        <v>30</v>
      </c>
      <c r="B31" s="36" t="s">
        <v>300</v>
      </c>
      <c r="C31" s="36" t="s">
        <v>1215</v>
      </c>
      <c r="D31" s="36">
        <v>326</v>
      </c>
      <c r="E31" s="36" t="s">
        <v>1204</v>
      </c>
      <c r="F31" s="37">
        <v>42217</v>
      </c>
      <c r="G31" s="36"/>
      <c r="H31" s="36" t="s">
        <v>1242</v>
      </c>
    </row>
    <row r="32" spans="1:8" x14ac:dyDescent="0.3">
      <c r="A32" s="36">
        <v>31</v>
      </c>
      <c r="B32" s="36" t="s">
        <v>295</v>
      </c>
      <c r="C32" s="36" t="s">
        <v>1215</v>
      </c>
      <c r="D32" s="36">
        <v>169</v>
      </c>
      <c r="E32" s="36" t="s">
        <v>1234</v>
      </c>
      <c r="F32" s="37">
        <v>44331</v>
      </c>
      <c r="G32" s="36"/>
      <c r="H32" s="36" t="s">
        <v>1243</v>
      </c>
    </row>
    <row r="33" spans="1:8" x14ac:dyDescent="0.3">
      <c r="A33" s="36">
        <v>32</v>
      </c>
      <c r="B33" s="36" t="s">
        <v>302</v>
      </c>
      <c r="C33" s="36" t="s">
        <v>1203</v>
      </c>
      <c r="D33" s="36">
        <v>50</v>
      </c>
      <c r="E33" s="36" t="s">
        <v>1209</v>
      </c>
      <c r="F33" s="37">
        <v>45566</v>
      </c>
      <c r="G33" s="36" t="s">
        <v>1205</v>
      </c>
      <c r="H33" s="36" t="s">
        <v>1225</v>
      </c>
    </row>
    <row r="34" spans="1:8" x14ac:dyDescent="0.3">
      <c r="A34" s="36">
        <v>33</v>
      </c>
      <c r="B34" s="36" t="s">
        <v>293</v>
      </c>
      <c r="C34" s="36" t="s">
        <v>1203</v>
      </c>
      <c r="D34" s="36">
        <v>33</v>
      </c>
      <c r="E34" s="36" t="s">
        <v>1222</v>
      </c>
      <c r="F34" s="37">
        <v>45352</v>
      </c>
      <c r="G34" s="36" t="s">
        <v>1244</v>
      </c>
      <c r="H34" s="36" t="s">
        <v>1244</v>
      </c>
    </row>
    <row r="35" spans="1:8" x14ac:dyDescent="0.3">
      <c r="A35" s="36">
        <v>34</v>
      </c>
      <c r="B35" s="36" t="s">
        <v>300</v>
      </c>
      <c r="C35" s="36" t="s">
        <v>1203</v>
      </c>
      <c r="D35" s="36">
        <v>308</v>
      </c>
      <c r="E35" s="36" t="s">
        <v>1204</v>
      </c>
      <c r="F35" s="37">
        <v>45332</v>
      </c>
      <c r="G35" s="36" t="s">
        <v>1213</v>
      </c>
      <c r="H35" s="36" t="s">
        <v>1245</v>
      </c>
    </row>
    <row r="36" spans="1:8" x14ac:dyDescent="0.3">
      <c r="A36" s="36">
        <v>35</v>
      </c>
      <c r="B36" s="36" t="s">
        <v>295</v>
      </c>
      <c r="C36" s="36" t="s">
        <v>1203</v>
      </c>
      <c r="D36" s="36">
        <v>137</v>
      </c>
      <c r="E36" s="36" t="s">
        <v>1209</v>
      </c>
      <c r="F36" s="37">
        <v>45443</v>
      </c>
      <c r="G36" s="36" t="s">
        <v>1226</v>
      </c>
      <c r="H36" s="36" t="s">
        <v>1227</v>
      </c>
    </row>
    <row r="37" spans="1:8" x14ac:dyDescent="0.3">
      <c r="A37" s="36">
        <v>36</v>
      </c>
      <c r="B37" s="36" t="s">
        <v>298</v>
      </c>
      <c r="C37" s="36" t="s">
        <v>1215</v>
      </c>
      <c r="D37" s="36">
        <v>259</v>
      </c>
      <c r="E37" s="36" t="s">
        <v>1246</v>
      </c>
      <c r="F37" s="37">
        <v>44927</v>
      </c>
      <c r="G37" s="36"/>
      <c r="H37" s="36" t="s">
        <v>1247</v>
      </c>
    </row>
    <row r="38" spans="1:8" x14ac:dyDescent="0.3">
      <c r="A38" s="36">
        <v>37</v>
      </c>
      <c r="B38" s="36" t="s">
        <v>302</v>
      </c>
      <c r="C38" s="36" t="s">
        <v>1215</v>
      </c>
      <c r="D38" s="36">
        <v>55</v>
      </c>
      <c r="E38" s="36" t="s">
        <v>1222</v>
      </c>
      <c r="F38" s="37">
        <v>44562</v>
      </c>
      <c r="G38" s="36"/>
      <c r="H38" s="36" t="s">
        <v>1248</v>
      </c>
    </row>
    <row r="39" spans="1:8" x14ac:dyDescent="0.3">
      <c r="A39" s="36">
        <v>38</v>
      </c>
      <c r="B39" s="36" t="s">
        <v>293</v>
      </c>
      <c r="C39" s="36" t="s">
        <v>1215</v>
      </c>
      <c r="D39" s="36">
        <v>60</v>
      </c>
      <c r="E39" s="36" t="s">
        <v>1249</v>
      </c>
      <c r="F39" s="37">
        <v>44538</v>
      </c>
      <c r="G39" s="36"/>
      <c r="H39" s="36" t="s">
        <v>1250</v>
      </c>
    </row>
    <row r="40" spans="1:8" x14ac:dyDescent="0.3">
      <c r="A40" s="36">
        <v>39</v>
      </c>
      <c r="B40" s="36" t="s">
        <v>300</v>
      </c>
      <c r="C40" s="36" t="s">
        <v>1203</v>
      </c>
      <c r="D40" s="36">
        <v>324</v>
      </c>
      <c r="E40" s="36" t="s">
        <v>1204</v>
      </c>
      <c r="F40" s="37">
        <v>45352</v>
      </c>
      <c r="G40" s="36" t="s">
        <v>1251</v>
      </c>
      <c r="H40" s="36" t="s">
        <v>1236</v>
      </c>
    </row>
    <row r="41" spans="1:8" x14ac:dyDescent="0.3">
      <c r="A41" s="36">
        <v>40</v>
      </c>
      <c r="B41" s="36" t="s">
        <v>295</v>
      </c>
      <c r="C41" s="36" t="s">
        <v>1203</v>
      </c>
      <c r="D41" s="36">
        <v>161</v>
      </c>
      <c r="E41" s="36" t="s">
        <v>1209</v>
      </c>
      <c r="F41" s="37">
        <v>45453</v>
      </c>
      <c r="G41" s="36" t="s">
        <v>1252</v>
      </c>
      <c r="H41" s="36" t="s">
        <v>1226</v>
      </c>
    </row>
    <row r="42" spans="1:8" x14ac:dyDescent="0.3">
      <c r="A42" s="36">
        <v>41</v>
      </c>
      <c r="B42" s="36" t="s">
        <v>312</v>
      </c>
      <c r="C42" s="36" t="s">
        <v>1203</v>
      </c>
      <c r="D42" s="36">
        <v>12</v>
      </c>
      <c r="E42" s="36" t="s">
        <v>1253</v>
      </c>
      <c r="F42" s="37">
        <v>45444</v>
      </c>
      <c r="G42" s="36" t="s">
        <v>1205</v>
      </c>
      <c r="H42" s="36" t="s">
        <v>1254</v>
      </c>
    </row>
    <row r="43" spans="1:8" x14ac:dyDescent="0.3">
      <c r="A43" s="36">
        <v>42</v>
      </c>
      <c r="B43" s="36" t="s">
        <v>308</v>
      </c>
      <c r="C43" s="36" t="s">
        <v>1203</v>
      </c>
      <c r="D43" s="36">
        <v>13</v>
      </c>
      <c r="E43" s="36" t="s">
        <v>1209</v>
      </c>
      <c r="F43" s="37">
        <v>45473</v>
      </c>
      <c r="G43" s="36" t="s">
        <v>1255</v>
      </c>
      <c r="H43" s="36" t="s">
        <v>1210</v>
      </c>
    </row>
    <row r="44" spans="1:8" x14ac:dyDescent="0.3">
      <c r="A44" s="36">
        <v>43</v>
      </c>
      <c r="B44" s="36" t="s">
        <v>302</v>
      </c>
      <c r="C44" s="36" t="s">
        <v>1203</v>
      </c>
      <c r="D44" s="36">
        <v>56</v>
      </c>
      <c r="E44" s="36" t="s">
        <v>1209</v>
      </c>
      <c r="F44" s="37">
        <v>45474</v>
      </c>
      <c r="G44" s="36" t="s">
        <v>1205</v>
      </c>
      <c r="H44" s="36" t="s">
        <v>1225</v>
      </c>
    </row>
    <row r="45" spans="1:8" x14ac:dyDescent="0.3">
      <c r="A45" s="36">
        <v>44</v>
      </c>
      <c r="B45" s="36" t="s">
        <v>295</v>
      </c>
      <c r="C45" s="36" t="s">
        <v>1215</v>
      </c>
      <c r="D45" s="36">
        <v>182</v>
      </c>
      <c r="E45" s="36" t="s">
        <v>1249</v>
      </c>
      <c r="F45" s="37">
        <v>44538</v>
      </c>
      <c r="G45" s="36"/>
      <c r="H45" s="36" t="s">
        <v>1243</v>
      </c>
    </row>
    <row r="46" spans="1:8" x14ac:dyDescent="0.3">
      <c r="A46" s="36">
        <v>45</v>
      </c>
      <c r="B46" s="36" t="s">
        <v>298</v>
      </c>
      <c r="C46" s="36" t="s">
        <v>1215</v>
      </c>
      <c r="D46" s="36">
        <v>260</v>
      </c>
      <c r="E46" s="36" t="s">
        <v>1253</v>
      </c>
      <c r="F46" s="37">
        <v>44958</v>
      </c>
      <c r="G46" s="36"/>
      <c r="H46" s="36" t="s">
        <v>1256</v>
      </c>
    </row>
    <row r="47" spans="1:8" x14ac:dyDescent="0.3">
      <c r="A47" s="36">
        <v>46</v>
      </c>
      <c r="B47" s="36" t="s">
        <v>293</v>
      </c>
      <c r="C47" s="36" t="s">
        <v>1203</v>
      </c>
      <c r="D47" s="36">
        <v>44</v>
      </c>
      <c r="E47" s="36" t="s">
        <v>1257</v>
      </c>
      <c r="F47" s="37">
        <v>45392</v>
      </c>
      <c r="G47" s="36" t="s">
        <v>1258</v>
      </c>
      <c r="H47" s="36" t="s">
        <v>1258</v>
      </c>
    </row>
    <row r="48" spans="1:8" x14ac:dyDescent="0.3">
      <c r="A48" s="36">
        <v>47</v>
      </c>
      <c r="B48" s="36" t="s">
        <v>295</v>
      </c>
      <c r="C48" s="36" t="s">
        <v>1203</v>
      </c>
      <c r="D48" s="36">
        <v>175</v>
      </c>
      <c r="E48" s="36" t="s">
        <v>1209</v>
      </c>
      <c r="F48" s="37">
        <v>45524</v>
      </c>
      <c r="G48" s="36" t="s">
        <v>1259</v>
      </c>
      <c r="H48" s="36" t="s">
        <v>1260</v>
      </c>
    </row>
    <row r="49" spans="1:8" x14ac:dyDescent="0.3">
      <c r="A49" s="36">
        <v>48</v>
      </c>
      <c r="B49" s="36" t="s">
        <v>308</v>
      </c>
      <c r="C49" s="36" t="s">
        <v>1203</v>
      </c>
      <c r="D49" s="36">
        <v>17</v>
      </c>
      <c r="E49" s="36" t="s">
        <v>1209</v>
      </c>
      <c r="F49" s="37">
        <v>45483</v>
      </c>
      <c r="G49" s="36" t="s">
        <v>1255</v>
      </c>
      <c r="H49" s="36" t="s">
        <v>1210</v>
      </c>
    </row>
    <row r="50" spans="1:8" x14ac:dyDescent="0.3">
      <c r="A50" s="36">
        <v>49</v>
      </c>
      <c r="B50" s="36" t="s">
        <v>302</v>
      </c>
      <c r="C50" s="36" t="s">
        <v>1215</v>
      </c>
      <c r="D50" s="36">
        <v>60</v>
      </c>
      <c r="E50" s="36" t="s">
        <v>1261</v>
      </c>
      <c r="F50" s="37">
        <v>44210</v>
      </c>
      <c r="G50" s="36"/>
      <c r="H50" s="36" t="s">
        <v>1262</v>
      </c>
    </row>
    <row r="51" spans="1:8" x14ac:dyDescent="0.3">
      <c r="A51" s="36">
        <v>50</v>
      </c>
      <c r="B51" s="36" t="s">
        <v>291</v>
      </c>
      <c r="C51" s="36" t="s">
        <v>1215</v>
      </c>
      <c r="D51" s="36">
        <v>30</v>
      </c>
      <c r="E51" s="36" t="s">
        <v>1204</v>
      </c>
      <c r="F51" s="37">
        <v>43831</v>
      </c>
      <c r="G51" s="36"/>
      <c r="H51" s="36" t="s">
        <v>1263</v>
      </c>
    </row>
    <row r="52" spans="1:8" x14ac:dyDescent="0.3">
      <c r="A52" s="36">
        <v>51</v>
      </c>
      <c r="B52" s="36" t="s">
        <v>300</v>
      </c>
      <c r="C52" s="36" t="s">
        <v>1215</v>
      </c>
      <c r="D52" s="36">
        <v>360</v>
      </c>
      <c r="E52" s="36" t="s">
        <v>1204</v>
      </c>
      <c r="F52" s="37">
        <v>44053</v>
      </c>
      <c r="G52" s="36"/>
      <c r="H52" s="36" t="s">
        <v>1264</v>
      </c>
    </row>
    <row r="53" spans="1:8" x14ac:dyDescent="0.3">
      <c r="A53" s="36">
        <v>52</v>
      </c>
      <c r="B53" s="36" t="s">
        <v>312</v>
      </c>
      <c r="C53" s="36" t="s">
        <v>1203</v>
      </c>
      <c r="D53" s="36">
        <v>15</v>
      </c>
      <c r="E53" s="36" t="s">
        <v>1265</v>
      </c>
      <c r="F53" s="37">
        <v>45413</v>
      </c>
      <c r="G53" s="36" t="s">
        <v>1205</v>
      </c>
      <c r="H53" s="36" t="s">
        <v>1266</v>
      </c>
    </row>
    <row r="54" spans="1:8" x14ac:dyDescent="0.3">
      <c r="A54" s="36">
        <v>53</v>
      </c>
      <c r="B54" s="36" t="s">
        <v>295</v>
      </c>
      <c r="C54" s="36" t="s">
        <v>1203</v>
      </c>
      <c r="D54" s="36">
        <v>149</v>
      </c>
      <c r="E54" s="36" t="s">
        <v>1209</v>
      </c>
      <c r="F54" s="37">
        <v>45485</v>
      </c>
      <c r="G54" s="36" t="s">
        <v>1231</v>
      </c>
      <c r="H54" s="36" t="s">
        <v>1232</v>
      </c>
    </row>
    <row r="55" spans="1:8" x14ac:dyDescent="0.3">
      <c r="A55" s="36">
        <v>54</v>
      </c>
      <c r="B55" s="36" t="s">
        <v>304</v>
      </c>
      <c r="C55" s="36" t="s">
        <v>1215</v>
      </c>
      <c r="D55" s="36">
        <v>40</v>
      </c>
      <c r="E55" s="36" t="s">
        <v>1209</v>
      </c>
      <c r="F55" s="37">
        <v>45528</v>
      </c>
      <c r="G55" s="36"/>
      <c r="H55" s="36" t="s">
        <v>1267</v>
      </c>
    </row>
    <row r="56" spans="1:8" x14ac:dyDescent="0.3">
      <c r="A56" s="36">
        <v>55</v>
      </c>
      <c r="B56" s="36" t="s">
        <v>298</v>
      </c>
      <c r="C56" s="36" t="s">
        <v>1203</v>
      </c>
      <c r="D56" s="36">
        <v>222</v>
      </c>
      <c r="E56" s="36" t="s">
        <v>1209</v>
      </c>
      <c r="F56" s="37">
        <v>45536</v>
      </c>
      <c r="G56" s="36" t="s">
        <v>1205</v>
      </c>
      <c r="H56" s="36" t="s">
        <v>1205</v>
      </c>
    </row>
    <row r="57" spans="1:8" x14ac:dyDescent="0.3">
      <c r="A57" s="36">
        <v>56</v>
      </c>
      <c r="B57" s="36" t="s">
        <v>295</v>
      </c>
      <c r="C57" s="36" t="s">
        <v>1203</v>
      </c>
      <c r="D57" s="36">
        <v>126</v>
      </c>
      <c r="E57" s="36" t="s">
        <v>1209</v>
      </c>
      <c r="F57" s="37">
        <v>45512</v>
      </c>
      <c r="G57" s="36" t="s">
        <v>1268</v>
      </c>
      <c r="H57" s="36" t="s">
        <v>1269</v>
      </c>
    </row>
    <row r="58" spans="1:8" x14ac:dyDescent="0.3">
      <c r="A58" s="36">
        <v>57</v>
      </c>
      <c r="B58" s="36" t="s">
        <v>300</v>
      </c>
      <c r="C58" s="36" t="s">
        <v>1203</v>
      </c>
      <c r="D58" s="36">
        <v>310</v>
      </c>
      <c r="E58" s="36" t="s">
        <v>1204</v>
      </c>
      <c r="F58" s="37">
        <v>45413</v>
      </c>
      <c r="G58" s="36" t="s">
        <v>1251</v>
      </c>
      <c r="H58" s="36" t="s">
        <v>1213</v>
      </c>
    </row>
    <row r="59" spans="1:8" x14ac:dyDescent="0.3">
      <c r="A59" s="36">
        <v>58</v>
      </c>
      <c r="B59" s="36" t="s">
        <v>293</v>
      </c>
      <c r="C59" s="36" t="s">
        <v>1203</v>
      </c>
      <c r="D59" s="36">
        <v>55</v>
      </c>
      <c r="E59" s="36" t="s">
        <v>1270</v>
      </c>
      <c r="F59" s="37">
        <v>45458</v>
      </c>
      <c r="G59" s="36" t="s">
        <v>1271</v>
      </c>
      <c r="H59" s="36" t="s">
        <v>1271</v>
      </c>
    </row>
    <row r="60" spans="1:8" x14ac:dyDescent="0.3">
      <c r="A60" s="36">
        <v>59</v>
      </c>
      <c r="B60" s="36" t="s">
        <v>298</v>
      </c>
      <c r="C60" s="36" t="s">
        <v>1203</v>
      </c>
      <c r="D60" s="36">
        <v>252</v>
      </c>
      <c r="E60" s="36" t="s">
        <v>1209</v>
      </c>
      <c r="F60" s="37">
        <v>45550</v>
      </c>
      <c r="G60" s="36" t="s">
        <v>1205</v>
      </c>
      <c r="H60" s="36" t="s">
        <v>1205</v>
      </c>
    </row>
    <row r="61" spans="1:8" x14ac:dyDescent="0.3">
      <c r="A61" s="36">
        <v>60</v>
      </c>
      <c r="B61" s="36" t="s">
        <v>308</v>
      </c>
      <c r="C61" s="36" t="s">
        <v>1215</v>
      </c>
      <c r="D61" s="36">
        <v>60</v>
      </c>
      <c r="E61" s="36" t="s">
        <v>1209</v>
      </c>
      <c r="F61" s="37">
        <v>45535</v>
      </c>
      <c r="G61" s="36"/>
      <c r="H61" s="36" t="s">
        <v>1272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Overview</vt:lpstr>
      <vt:lpstr>Dashboard</vt:lpstr>
      <vt:lpstr>1_Customer_Analysis</vt:lpstr>
      <vt:lpstr>2_Account_Analysis</vt:lpstr>
      <vt:lpstr>3_Transaction_Analysis</vt:lpstr>
      <vt:lpstr>4_Loan_Analysis</vt:lpstr>
      <vt:lpstr>5_Card_Analysis</vt:lpstr>
      <vt:lpstr>6_Branch_Performance</vt:lpstr>
      <vt:lpstr>Pivot_Tables</vt:lpstr>
      <vt:lpstr>Data_Quality</vt:lpstr>
      <vt:lpstr>BRANCHES</vt:lpstr>
      <vt:lpstr>CUSTOMERS</vt:lpstr>
      <vt:lpstr>ACCOUNTS</vt:lpstr>
      <vt:lpstr>TRANSACTIONS</vt:lpstr>
      <vt:lpstr>LOANS</vt:lpstr>
      <vt:lpstr>EMPLOYEES</vt:lpstr>
      <vt:lpstr>CARDS</vt:lpstr>
      <vt:lpstr>TRANSFERS</vt:lpstr>
      <vt:lpstr>BENEFICIARIES</vt:lpstr>
      <vt:lpstr>FEES</vt:lpstr>
      <vt:lpstr>LOAN_PAYMENTS</vt:lpstr>
      <vt:lpstr>STANDING_ORDERS</vt:lpstr>
      <vt:lpstr>ATM_MACHINES</vt:lpstr>
      <vt:lpstr>AUDIT_LOG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Sara Ewaida (Student)</cp:lastModifiedBy>
  <cp:revision>1</cp:revision>
  <dcterms:created xsi:type="dcterms:W3CDTF">2026-08-23T08:53:27Z</dcterms:created>
  <dcterms:modified xsi:type="dcterms:W3CDTF">2026-08-23T11:12:54Z</dcterms:modified>
  <dc:language>en-US</dc:language>
</cp:coreProperties>
</file>